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\Archetype\"/>
    </mc:Choice>
  </mc:AlternateContent>
  <xr:revisionPtr revIDLastSave="0" documentId="13_ncr:1_{3EA4754A-18D2-4F0E-A0AA-FA2402795D2A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Overview" sheetId="1" r:id="rId1"/>
    <sheet name="WBS" sheetId="2" r:id="rId2"/>
    <sheet name="Phase KPIs" sheetId="3" r:id="rId3"/>
    <sheet name="Milestones" sheetId="4" r:id="rId4"/>
    <sheet name="RAI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5" i="1"/>
  <c r="C41" i="3"/>
  <c r="B41" i="3"/>
  <c r="D41" i="3" s="1"/>
  <c r="C40" i="3"/>
  <c r="B40" i="3"/>
  <c r="D40" i="3" s="1"/>
  <c r="C39" i="3"/>
  <c r="B39" i="3"/>
  <c r="D39" i="3" s="1"/>
  <c r="C38" i="3"/>
  <c r="B38" i="3"/>
  <c r="D38" i="3" s="1"/>
  <c r="C37" i="3"/>
  <c r="B37" i="3"/>
  <c r="D37" i="3" s="1"/>
  <c r="N54" i="2"/>
  <c r="M54" i="2" s="1"/>
  <c r="I54" i="2"/>
  <c r="H54" i="2"/>
  <c r="N47" i="2"/>
  <c r="M47" i="2" s="1"/>
  <c r="I47" i="2"/>
  <c r="H47" i="2"/>
  <c r="N40" i="2"/>
  <c r="M40" i="2" s="1"/>
  <c r="I40" i="2"/>
  <c r="H40" i="2"/>
  <c r="N27" i="2"/>
  <c r="M27" i="2" s="1"/>
  <c r="I27" i="2"/>
  <c r="H27" i="2"/>
  <c r="N20" i="2"/>
  <c r="M20" i="2" s="1"/>
  <c r="I20" i="2"/>
  <c r="H20" i="2"/>
  <c r="N6" i="2"/>
  <c r="M6" i="2"/>
  <c r="I6" i="2"/>
  <c r="H6" i="2"/>
  <c r="H15" i="1"/>
  <c r="D15" i="1"/>
  <c r="C15" i="1"/>
  <c r="H14" i="1"/>
  <c r="D14" i="1"/>
  <c r="C14" i="1"/>
  <c r="H13" i="1"/>
  <c r="D13" i="1"/>
  <c r="C13" i="1"/>
  <c r="H12" i="1"/>
  <c r="D12" i="1"/>
  <c r="C12" i="1"/>
  <c r="H11" i="1"/>
  <c r="D11" i="1"/>
  <c r="C11" i="1"/>
  <c r="E12" i="4"/>
  <c r="B4" i="1"/>
  <c r="E6" i="4" s="1"/>
  <c r="E13" i="1" l="1"/>
  <c r="F14" i="1"/>
  <c r="T5" i="2"/>
  <c r="Z5" i="2"/>
  <c r="AF5" i="2"/>
  <c r="AL5" i="2"/>
  <c r="K9" i="2"/>
  <c r="K12" i="2"/>
  <c r="K15" i="2"/>
  <c r="K18" i="2"/>
  <c r="K20" i="2"/>
  <c r="K22" i="2"/>
  <c r="K25" i="2"/>
  <c r="K27" i="2"/>
  <c r="K29" i="2"/>
  <c r="K32" i="2"/>
  <c r="K35" i="2"/>
  <c r="K38" i="2"/>
  <c r="K40" i="2"/>
  <c r="K42" i="2"/>
  <c r="K45" i="2"/>
  <c r="K47" i="2"/>
  <c r="K49" i="2"/>
  <c r="K52" i="2"/>
  <c r="K54" i="2"/>
  <c r="K56" i="2"/>
  <c r="E7" i="4"/>
  <c r="E11" i="1"/>
  <c r="F12" i="1"/>
  <c r="K7" i="2"/>
  <c r="K10" i="2"/>
  <c r="K13" i="2"/>
  <c r="K16" i="2"/>
  <c r="K19" i="2"/>
  <c r="K43" i="2"/>
  <c r="K46" i="2"/>
  <c r="E12" i="1"/>
  <c r="F13" i="1"/>
  <c r="O5" i="2"/>
  <c r="U5" i="2"/>
  <c r="AA5" i="2"/>
  <c r="AG5" i="2"/>
  <c r="J7" i="2"/>
  <c r="J10" i="2"/>
  <c r="J13" i="2"/>
  <c r="J16" i="2"/>
  <c r="J19" i="2"/>
  <c r="J23" i="2"/>
  <c r="J26" i="2"/>
  <c r="J30" i="2"/>
  <c r="J33" i="2"/>
  <c r="J36" i="2"/>
  <c r="J39" i="2"/>
  <c r="J43" i="2"/>
  <c r="J46" i="2"/>
  <c r="J50" i="2"/>
  <c r="J53" i="2"/>
  <c r="E8" i="4"/>
  <c r="P5" i="2"/>
  <c r="V5" i="2"/>
  <c r="AB5" i="2"/>
  <c r="AH5" i="2"/>
  <c r="K30" i="2"/>
  <c r="K33" i="2"/>
  <c r="K36" i="2"/>
  <c r="K39" i="2"/>
  <c r="E9" i="4"/>
  <c r="F11" i="1"/>
  <c r="Q5" i="2"/>
  <c r="W5" i="2"/>
  <c r="AC5" i="2"/>
  <c r="AI5" i="2"/>
  <c r="J6" i="2"/>
  <c r="J8" i="2"/>
  <c r="J11" i="2"/>
  <c r="J14" i="2"/>
  <c r="J17" i="2"/>
  <c r="J21" i="2"/>
  <c r="J24" i="2"/>
  <c r="J28" i="2"/>
  <c r="J31" i="2"/>
  <c r="J34" i="2"/>
  <c r="J37" i="2"/>
  <c r="J41" i="2"/>
  <c r="J44" i="2"/>
  <c r="J48" i="2"/>
  <c r="J51" i="2"/>
  <c r="J55" i="2"/>
  <c r="E10" i="4"/>
  <c r="E15" i="1"/>
  <c r="R5" i="2"/>
  <c r="X5" i="2"/>
  <c r="AD5" i="2"/>
  <c r="AJ5" i="2"/>
  <c r="K6" i="2"/>
  <c r="K8" i="2"/>
  <c r="K11" i="2"/>
  <c r="K14" i="2"/>
  <c r="K17" i="2"/>
  <c r="K28" i="2"/>
  <c r="K31" i="2"/>
  <c r="K34" i="2"/>
  <c r="K37" i="2"/>
  <c r="K41" i="2"/>
  <c r="K44" i="2"/>
  <c r="K48" i="2"/>
  <c r="K51" i="2"/>
  <c r="K55" i="2"/>
  <c r="E5" i="4"/>
  <c r="E11" i="4"/>
  <c r="K23" i="2"/>
  <c r="K26" i="2"/>
  <c r="K50" i="2"/>
  <c r="K53" i="2"/>
  <c r="K21" i="2"/>
  <c r="K24" i="2"/>
  <c r="E14" i="1"/>
  <c r="F15" i="1"/>
  <c r="S5" i="2"/>
  <c r="Y5" i="2"/>
  <c r="AE5" i="2"/>
  <c r="AK5" i="2"/>
  <c r="J9" i="2"/>
  <c r="J12" i="2"/>
  <c r="J15" i="2"/>
  <c r="J18" i="2"/>
  <c r="J20" i="2"/>
  <c r="J22" i="2"/>
  <c r="J25" i="2"/>
  <c r="J27" i="2"/>
  <c r="J29" i="2"/>
  <c r="J32" i="2"/>
  <c r="J35" i="2"/>
  <c r="J38" i="2"/>
  <c r="J40" i="2"/>
  <c r="J42" i="2"/>
  <c r="J45" i="2"/>
  <c r="J47" i="2"/>
  <c r="J49" i="2"/>
  <c r="J52" i="2"/>
  <c r="J54" i="2"/>
  <c r="J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000-000001000000}">
      <text>
        <r>
          <rPr>
            <sz val="10"/>
            <rFont val="Arial"/>
            <family val="2"/>
          </rPr>
          <t>Contract start per latest contract update (05/10/2026). Change here to shift every date.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8" authorId="0" shapeId="0" xr:uid="{00000000-0006-0000-0300-000001000000}">
      <text>
        <r>
          <rPr>
            <sz val="10"/>
            <rFont val="Arial"/>
            <family val="2"/>
          </rPr>
          <t>01/01/2027 is a public holiday – hold the M3 review on Thu 31/12/2026 or Mon 04/01/2027.</t>
        </r>
      </text>
    </comment>
    <comment ref="E12" authorId="0" shapeId="0" xr:uid="{00000000-0006-0000-0300-000002000000}">
      <text>
        <r>
          <rPr>
            <sz val="10"/>
            <rFont val="Arial"/>
            <family val="2"/>
          </rPr>
          <t>Indicative: 30 days after warranty end; actual date depends on receipt of complete payment dossier.</t>
        </r>
      </text>
    </comment>
  </commentList>
</comments>
</file>

<file path=xl/sharedStrings.xml><?xml version="1.0" encoding="utf-8"?>
<sst xmlns="http://schemas.openxmlformats.org/spreadsheetml/2006/main" count="922" uniqueCount="539">
  <si>
    <t>Archetype – Data Warehouse Rebuild (Phase 1) · Detailed Project Plan &amp; Phase KPIs</t>
  </si>
  <si>
    <t>Kế hoạch chi tiết &amp; KPI từng giai đoạn · TMA Innovation · Draft for Archetype review</t>
  </si>
  <si>
    <t>Project start (W1 Monday) · Ngày bắt đầu (thứ 2 tuần 1)</t>
  </si>
  <si>
    <t>Input – all dates in the plan derive from this cell / Ô nhập – mọi ngày trong kế hoạch tính từ ô này</t>
  </si>
  <si>
    <t>Contract end · Ngày kết thúc HĐ</t>
  </si>
  <si>
    <t>Per contract (as updated) / Theo hợp đồng</t>
  </si>
  <si>
    <t>Warranty end · Kết thúc bảo hành</t>
  </si>
  <si>
    <t>3 months after contract end / 3 tháng sau kết thúc HĐ</t>
  </si>
  <si>
    <t>Plan version · Phiên bản</t>
  </si>
  <si>
    <t>v0.1 – 08/10/2026</t>
  </si>
  <si>
    <t>To be approved by Group IT/IS Director (target W3) / Chờ phê duyệt (mục tiêu W3)</t>
  </si>
  <si>
    <t>Phase summary · Tổng hợp giai đoạn</t>
  </si>
  <si>
    <t>Phase · Giai đoạn</t>
  </si>
  <si>
    <t>Name · Tên</t>
  </si>
  <si>
    <t>Start wk</t>
  </si>
  <si>
    <t>End wk</t>
  </si>
  <si>
    <t>Start date</t>
  </si>
  <si>
    <t>End date</t>
  </si>
  <si>
    <t>Milestone</t>
  </si>
  <si>
    <t>% Complete (avg of tasks)</t>
  </si>
  <si>
    <t>P1</t>
  </si>
  <si>
    <t>Consult, analyze, design &amp; platform setup · Tư vấn, phân tích, thiết kế &amp; dựng nền tảng</t>
  </si>
  <si>
    <t>M1 – Platform baseline (W5)</t>
  </si>
  <si>
    <t>P2</t>
  </si>
  <si>
    <t>Timesheet E2E · Luồng Timesheet đầu-cuối</t>
  </si>
  <si>
    <t>M2 – Timesheet E2E (W6)</t>
  </si>
  <si>
    <t>P3</t>
  </si>
  <si>
    <t>Guided build-out &amp; parallel run · Nhân rộng có hướng dẫn &amp; chạy song song</t>
  </si>
  <si>
    <t>M3 – Dashboards &amp; pipelines accepted (W13)</t>
  </si>
  <si>
    <t>P4</t>
  </si>
  <si>
    <t>pgvector use case, handover &amp; go-live · PoC pgvector, bàn giao &amp; go-live</t>
  </si>
  <si>
    <t>M4 – Phase 1 delivery accepted (W14)</t>
  </si>
  <si>
    <t>P5</t>
  </si>
  <si>
    <t>Hypercare · Hỗ trợ sau go-live</t>
  </si>
  <si>
    <t>M5 – Hypercare closed (W24)</t>
  </si>
  <si>
    <t>How to use · Cách sử dụng</t>
  </si>
  <si>
    <t>• Yellow cells are inputs: project start date, task Status and % Complete. Ô vàng là ô nhập: ngày bắt đầu, Status và % hoàn thành.</t>
  </si>
  <si>
    <t>• Start/End week drive the dates and the Gantt bars automatically. Tuần bắt đầu/kết thúc tự sinh ngày và thanh Gantt.</t>
  </si>
  <si>
    <t>• Each milestone must be accepted (signed minutes) before the next phase starts (contract Art. 8.6). Mỗi mốc phải được nghiệm thu trước khi sang giai đoạn sau (Điều 8.6 HĐ).</t>
  </si>
  <si>
    <t>• Dates are calendar weeks; public holidays (01/01/2027, Lunar New Year ~06/02/2027) are not deducted – the contract extends the term accordingly. Ngày tính theo tuần lịch, chưa trừ lễ Tết; HĐ cho phép gia hạn tương ứng.</t>
  </si>
  <si>
    <t>• KPI targets marked "TBC with SME" need confirmation from Archetype data owners during W1–W3. KPI ghi "TBC with SME" cần SME Archetype xác nhận trong W1–W3.</t>
  </si>
  <si>
    <t>Work Breakdown Structure &amp; Timeline · Cấu trúc công việc &amp; tiến độ</t>
  </si>
  <si>
    <t>Owner/Support: TMA = TMA team · ARC = Archetype · DIR = Group IT/IS Director · BI = Archetype BI · DEV = Archetype DevOps · SME = data owners. Yellow = input.</t>
  </si>
  <si>
    <t>ID</t>
  </si>
  <si>
    <t>Phase</t>
  </si>
  <si>
    <t>Type</t>
  </si>
  <si>
    <t>Task (EN)</t>
  </si>
  <si>
    <t>Công việc (VI)</t>
  </si>
  <si>
    <t>Owner</t>
  </si>
  <si>
    <t>Support</t>
  </si>
  <si>
    <t>Deliverable / Output · Kết quả</t>
  </si>
  <si>
    <t>Status</t>
  </si>
  <si>
    <t>% Complete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</si>
  <si>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</si>
  <si>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</si>
  <si>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</si>
  <si>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</si>
  <si>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</si>
  <si>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</si>
  <si>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</si>
  <si>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</si>
  <si>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</si>
  <si>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</si>
  <si>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</si>
  <si>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</si>
  <si>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</si>
  <si>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</si>
  <si>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</si>
  <si>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</si>
  <si>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</si>
  <si>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</si>
  <si>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</si>
  <si>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</si>
  <si>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</si>
  <si>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</si>
  <si>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</si>
  <si>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</si>
  <si>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Consult, analyze, design &amp; platform setup</t>
  </si>
  <si>
    <t>Tư vấn, phân tích, thiết kế &amp; dựng nền tảng</t>
  </si>
  <si>
    <t>TMA</t>
  </si>
  <si>
    <t>ARC</t>
  </si>
  <si>
    <t>Platform baseline</t>
  </si>
  <si>
    <t>1.1</t>
  </si>
  <si>
    <t>Task</t>
  </si>
  <si>
    <t>Kick-off; confirm team, RACI, communication &amp; tools</t>
  </si>
  <si>
    <t>Kick-off; chốt nhân sự, RACI, kênh trao đổi &amp; công cụ</t>
  </si>
  <si>
    <t>Kick-off deck, minutes</t>
  </si>
  <si>
    <t>Not started</t>
  </si>
  <si>
    <t>1.2</t>
  </si>
  <si>
    <t>Provide inputs: Azure access, service accounts, SSIS packages, PBIX, table inventory, sample data</t>
  </si>
  <si>
    <t>Cung cấp đầu vào: quyền Azure, service account, SSIS, PBIX, danh sách bảng, sample data</t>
  </si>
  <si>
    <t>Input checklist completed</t>
  </si>
  <si>
    <t>1.3</t>
  </si>
  <si>
    <t>Hand over full Timesheet dashboard requirements</t>
  </si>
  <si>
    <t>Bàn giao đầy đủ yêu cầu dashboard Timesheet</t>
  </si>
  <si>
    <t>BI</t>
  </si>
  <si>
    <t>Timesheet requirement spec</t>
  </si>
  <si>
    <t>1.4</t>
  </si>
  <si>
    <t>Detailed project plan &amp; phase KPIs – draft, review, approve</t>
  </si>
  <si>
    <t>Kế hoạch chi tiết &amp; KPI giai đoạn – soạn, review, phê duyệt</t>
  </si>
  <si>
    <t>DIR</t>
  </si>
  <si>
    <t>Approved plan (this workbook)</t>
  </si>
  <si>
    <t>1.5</t>
  </si>
  <si>
    <t>Current-state assessment: sources, SSIS logic, 5 dashboards, table prioritization</t>
  </si>
  <si>
    <t>Khảo sát hiện trạng: nguồn, logic SSIS, 5 dashboard, ưu tiên bảng</t>
  </si>
  <si>
    <t>BI, SME</t>
  </si>
  <si>
    <t>Assessment report, prioritized table list</t>
  </si>
  <si>
    <t>1.6</t>
  </si>
  <si>
    <t>Legacy connector PoC: SQL Server 2008 TLS/driver via Self-hosted IR</t>
  </si>
  <si>
    <t>PoC kết nối SQL Server 2008 (TLS/driver) qua Self-hosted IR</t>
  </si>
  <si>
    <t>DEV</t>
  </si>
  <si>
    <t>PoC result; CR if limits found</t>
  </si>
  <si>
    <t>1.7</t>
  </si>
  <si>
    <t>Decision log</t>
  </si>
  <si>
    <t>1.8</t>
  </si>
  <si>
    <t>Provision Azure Dev/UAT/Prod: PostgreSQL, Blob, ADF, Container Apps, Key Vault, Monitor, VPN, Windows VM (SHIR)</t>
  </si>
  <si>
    <t>Dựng Azure Dev/UAT/Prod: PostgreSQL, Blob, ADF, Container Apps, Key Vault, Monitor, VPN, Windows VM (SHIR)</t>
  </si>
  <si>
    <t>3 environments ready</t>
  </si>
  <si>
    <t>1.9</t>
  </si>
  <si>
    <t>HLA/LLD: architecture, data model (layers, naming, conformed dims), security &amp; operations design</t>
  </si>
  <si>
    <t>HLA/LLD: kiến trúc, data model (lớp, quy ước, dim dùng chung), bảo mật &amp; vận hành</t>
  </si>
  <si>
    <t>DEV, BI</t>
  </si>
  <si>
    <t>HLA/LLD document (approved)</t>
  </si>
  <si>
    <t>1.10</t>
  </si>
  <si>
    <t>Platform baseline: parameterized ADF ingestion (watermark, retry, alert), dbt project, Elementary, Git, CI</t>
  </si>
  <si>
    <t>Nền tảng cơ sở: ADF tham số hóa (watermark, retry, cảnh báo), dbt, Elementary, Git, CI</t>
  </si>
  <si>
    <t>Running framework in Dev/UAT</t>
  </si>
  <si>
    <t>1.11</t>
  </si>
  <si>
    <t>Security baseline: Entra ID SSO, RLS framework, masking views, Key Vault secrets</t>
  </si>
  <si>
    <t>Bảo mật nền: SSO Entra ID, khung RLS, view masking, secrets Key Vault</t>
  </si>
  <si>
    <t>Security test cases passed</t>
  </si>
  <si>
    <t>1.12</t>
  </si>
  <si>
    <t>Training #1: platform, ADF &amp; dbt fundamentals (workshop)</t>
  </si>
  <si>
    <t>Đào tạo #1: nền tảng, ADF &amp; dbt cơ bản (workshop)</t>
  </si>
  <si>
    <t>BI, DEV</t>
  </si>
  <si>
    <t>Training material, attendance</t>
  </si>
  <si>
    <t>M1</t>
  </si>
  <si>
    <t>M1 – Platform baseline accepted</t>
  </si>
  <si>
    <t>M1 – Nghiệm thu nền tảng cơ sở</t>
  </si>
  <si>
    <t>Signed acceptance minutes</t>
  </si>
  <si>
    <t>Timesheet E2E</t>
  </si>
  <si>
    <t>Luồng Timesheet đầu-cuối</t>
  </si>
  <si>
    <t>Reference pipeline</t>
  </si>
  <si>
    <t>2.1</t>
  </si>
  <si>
    <t>Ingest Timesheet sources (≤ 10 tables) into RAW</t>
  </si>
  <si>
    <t>Nạp nguồn Timesheet (≤ 10 bảng) vào RAW</t>
  </si>
  <si>
    <t>RAW tables loaded hourly</t>
  </si>
  <si>
    <t>2.2</t>
  </si>
  <si>
    <t>dbt models staging → dwh → mart (≤ 20 models), Timesheet fact &amp; selected dims</t>
  </si>
  <si>
    <t>dbt model staging → dwh → mart (≤ 20 model), fact Timesheet &amp; dim chọn lọc</t>
  </si>
  <si>
    <t>SME</t>
  </si>
  <si>
    <t>Timesheet mart</t>
  </si>
  <si>
    <t>2.3</t>
  </si>
  <si>
    <t>Elementary tests &amp; reconciliation vs. legacy (≤ 6 acceptance KPIs)</t>
  </si>
  <si>
    <t>Test Elementary &amp; đối soát với hệ thống cũ (≤ 6 KPI nghiệm thu)</t>
  </si>
  <si>
    <t>Reconciliation report</t>
  </si>
  <si>
    <t>2.4</t>
  </si>
  <si>
    <t>Build Timesheet dashboard on MART</t>
  </si>
  <si>
    <t>Xây dashboard Timesheet trên MART</t>
  </si>
  <si>
    <t>Timesheet dashboard</t>
  </si>
  <si>
    <t>2.5</t>
  </si>
  <si>
    <t>Training #2: pair-working walkthrough of the reference pipeline</t>
  </si>
  <si>
    <t>Đào tạo #2: pair-working trên pipeline mẫu</t>
  </si>
  <si>
    <t>Reference pipeline guide</t>
  </si>
  <si>
    <t>M2</t>
  </si>
  <si>
    <t>M2 – Timesheet E2E accepted</t>
  </si>
  <si>
    <t>M2 – Nghiệm thu luồng Timesheet</t>
  </si>
  <si>
    <t>Guided build-out &amp; parallel run</t>
  </si>
  <si>
    <t>Nhân rộng có hướng dẫn &amp; chạy song song</t>
  </si>
  <si>
    <t>6–7 pipelines, 4 integrations</t>
  </si>
  <si>
    <t>3.1</t>
  </si>
  <si>
    <t>Prioritize &amp; plan remaining 5–6 pipelines/dashboards</t>
  </si>
  <si>
    <t>Ưu tiên &amp; lập kế hoạch 5–6 pipeline/dashboard còn lại</t>
  </si>
  <si>
    <t>TMA, DIR</t>
  </si>
  <si>
    <t>Build-out backlog</t>
  </si>
  <si>
    <t>3.2</t>
  </si>
  <si>
    <t>Finance pipeline &amp; dashboard</t>
  </si>
  <si>
    <t>Pipeline &amp; dashboard Finance</t>
  </si>
  <si>
    <t>Finance mart &amp; dashboard</t>
  </si>
  <si>
    <t>3.3</t>
  </si>
  <si>
    <t>Contract (Project) pipeline &amp; dashboard</t>
  </si>
  <si>
    <t>Pipeline &amp; dashboard Contract (Project)</t>
  </si>
  <si>
    <t>Contract mart &amp; dashboard</t>
  </si>
  <si>
    <t>3.4</t>
  </si>
  <si>
    <t>HR pipeline &amp; dashboard</t>
  </si>
  <si>
    <t>Pipeline &amp; dashboard HR</t>
  </si>
  <si>
    <t>HR mart &amp; dashboard</t>
  </si>
  <si>
    <t>3.5</t>
  </si>
  <si>
    <t>MD (Managing Director) pipeline &amp; dashboard</t>
  </si>
  <si>
    <t>Pipeline &amp; dashboard MD</t>
  </si>
  <si>
    <t>MD mart &amp; dashboard</t>
  </si>
  <si>
    <t>3.6</t>
  </si>
  <si>
    <t>Additional pipeline(s) to reach 6–7 in total</t>
  </si>
  <si>
    <t>Pipeline bổ sung để đủ 6–7</t>
  </si>
  <si>
    <t>Additional mart(s)</t>
  </si>
  <si>
    <t>3.7</t>
  </si>
  <si>
    <t>Rebuild 4 integrations (Timesheet, Budget, Contract, Employee) in ADF</t>
  </si>
  <si>
    <t>Viết lại 4 tích hợp (Timesheet, Budget, Contract, Employee) bằng ADF</t>
  </si>
  <si>
    <t>DEV, SME</t>
  </si>
  <si>
    <t>4 integration pipelines</t>
  </si>
  <si>
    <t>3.8</t>
  </si>
  <si>
    <t>Historical data load (scope as agreed in 1.7)</t>
  </si>
  <si>
    <t>Nạp dữ liệu lịch sử (phạm vi theo 1.7)</t>
  </si>
  <si>
    <t>History loaded &amp; reconciled</t>
  </si>
  <si>
    <t>3.9</t>
  </si>
  <si>
    <t>Parallel run &amp; reconciliation: legacy vs. new DWH</t>
  </si>
  <si>
    <t>Chạy song song &amp; đối soát DWH cũ vs. mới</t>
  </si>
  <si>
    <t>TMA, SME</t>
  </si>
  <si>
    <t>Weekly reconciliation report</t>
  </si>
  <si>
    <t>3.10</t>
  </si>
  <si>
    <t>Weekly pair-working clinics &amp; code reviews</t>
  </si>
  <si>
    <t>Buổi pair-working &amp; review code hằng tuần</t>
  </si>
  <si>
    <t>Review log</t>
  </si>
  <si>
    <t>3.11</t>
  </si>
  <si>
    <t>UAT by Finance &amp; Accounting and HR</t>
  </si>
  <si>
    <t>UAT bởi Finance &amp; Accounting và HR</t>
  </si>
  <si>
    <t>BI, TMA</t>
  </si>
  <si>
    <t>UAT sign-off, defect log</t>
  </si>
  <si>
    <t>M3</t>
  </si>
  <si>
    <t>M3 – Pipelines/dashboards accepted; go/no-go for decommission</t>
  </si>
  <si>
    <t>M3 – Nghiệm thu pipeline/dashboard; quyết định ngưng DWH cũ</t>
  </si>
  <si>
    <t>TMA, BI</t>
  </si>
  <si>
    <t>pgvector use case, handover &amp; go-live</t>
  </si>
  <si>
    <t>PoC pgvector, bàn giao &amp; go-live</t>
  </si>
  <si>
    <t>Phase 1 delivery</t>
  </si>
  <si>
    <t>4.1</t>
  </si>
  <si>
    <t>pgvector + text-to-SQL PoC: metadata embeddings, LLM, guardrails, Metabase integration</t>
  </si>
  <si>
    <t>PoC pgvector + text-to-SQL: embedding metadata, LLM, guardrail, tích hợp Metabase</t>
  </si>
  <si>
    <t>Working PoC + test question set</t>
  </si>
  <si>
    <t>4.2</t>
  </si>
  <si>
    <t>Vulnerability scan &amp; remediation</t>
  </si>
  <si>
    <t>Quét lỗ hổng &amp; khắc phục</t>
  </si>
  <si>
    <t>Scan report, 0 critical/high</t>
  </si>
  <si>
    <t>4.3</t>
  </si>
  <si>
    <t>Handover documents (bilingual): technical doc, source code, test results, user guide, install guide</t>
  </si>
  <si>
    <t>Tài liệu bàn giao (song ngữ): kỹ thuật, mã nguồn, kiểm thử, HDSD, cài đặt</t>
  </si>
  <si>
    <t>—</t>
  </si>
  <si>
    <t>5 deliverables</t>
  </si>
  <si>
    <t>4.4</t>
  </si>
  <si>
    <t>Training #3: operations runbook (monitoring, incidents, backup/restore)</t>
  </si>
  <si>
    <t>Đào tạo #3: runbook vận hành (giám sát, sự cố, backup/restore)</t>
  </si>
  <si>
    <t>Runbook, attendance</t>
  </si>
  <si>
    <t>4.5</t>
  </si>
  <si>
    <t>Go-live &amp; decommission legacy DWH</t>
  </si>
  <si>
    <t>Go-live &amp; ngưng DWH cũ</t>
  </si>
  <si>
    <t>Legacy DWH stopped</t>
  </si>
  <si>
    <t>M4</t>
  </si>
  <si>
    <t>M4 – Phase 1 delivery accepted</t>
  </si>
  <si>
    <t>M4 – Nghiệm thu bàn giao Phase 1</t>
  </si>
  <si>
    <t>Hypercare</t>
  </si>
  <si>
    <t>Hỗ trợ sau go-live</t>
  </si>
  <si>
    <t>Stable operations</t>
  </si>
  <si>
    <t>5.1</t>
  </si>
  <si>
    <t>Hypercare: issue triage, defect fixes, performance tuning</t>
  </si>
  <si>
    <t>Hypercare: phân loại sự cố, sửa lỗi, tối ưu hiệu năng</t>
  </si>
  <si>
    <t>Incident log</t>
  </si>
  <si>
    <t>5.2</t>
  </si>
  <si>
    <t>Daily 1-hour sync or weekly review</t>
  </si>
  <si>
    <t>Họp 1 giờ hằng ngày hoặc review hằng tuần</t>
  </si>
  <si>
    <t>Meeting notes</t>
  </si>
  <si>
    <t>5.3</t>
  </si>
  <si>
    <t>Backup/restore tests against RPO/RTO</t>
  </si>
  <si>
    <t>Kiểm thử backup/restore theo RPO/RTO</t>
  </si>
  <si>
    <t>Restore test report</t>
  </si>
  <si>
    <t>5.4</t>
  </si>
  <si>
    <t>Second restore test &amp; monthly operations review</t>
  </si>
  <si>
    <t>Restore test lần 2 &amp; review vận hành hằng tháng</t>
  </si>
  <si>
    <t>Ops review report</t>
  </si>
  <si>
    <t>5.5</t>
  </si>
  <si>
    <t>Internal team ships ≥ 1 new pipeline/report independently</t>
  </si>
  <si>
    <t>Đội nội bộ tự triển khai ≥ 1 pipeline/báo cáo mới</t>
  </si>
  <si>
    <t>New pipeline in Prod</t>
  </si>
  <si>
    <t>M5</t>
  </si>
  <si>
    <t>M5 – Hypercare closed; final acceptance</t>
  </si>
  <si>
    <t>M5 – Kết thúc hypercare; nghiệm thu cuối</t>
  </si>
  <si>
    <t>Final acceptance minutes</t>
  </si>
  <si>
    <t>X</t>
  </si>
  <si>
    <t>Cross-cutting governance</t>
  </si>
  <si>
    <t>Quản trị xuyên suốt</t>
  </si>
  <si>
    <t>X.1</t>
  </si>
  <si>
    <t>Weekly meeting (60 min), weekly status report &amp; RAID log</t>
  </si>
  <si>
    <t>Họp tuần (60 phút), báo cáo tuần &amp; RAID log</t>
  </si>
  <si>
    <t>Weekly report</t>
  </si>
  <si>
    <t>X.2</t>
  </si>
  <si>
    <t>Daily scrum (30 min, internal TMA) &amp; daily update</t>
  </si>
  <si>
    <t>Daily scrum (30 phút, nội bộ TMA) &amp; cập nhật hằng ngày</t>
  </si>
  <si>
    <t>Daily update</t>
  </si>
  <si>
    <t>Gantt legend · Chú thích: dark blue = phase · blue = task · orange = milestone · green = task done</t>
  </si>
  <si>
    <t>Phase KPIs &amp; acceptance criteria · KPI &amp; tiêu chí nghiệm thu từng giai đoạn</t>
  </si>
  <si>
    <t>Targets marked "TBC with SME" to be confirmed by Archetype data owners in W1–W3. Actual &amp; Met? are filled at each milestone review.</t>
  </si>
  <si>
    <t>KPI (EN)</t>
  </si>
  <si>
    <t>KPI (VI)</t>
  </si>
  <si>
    <t>Target · Mục tiêu</t>
  </si>
  <si>
    <t>Measurement · Cách đo</t>
  </si>
  <si>
    <t>Evidence · Bằng chứng</t>
  </si>
  <si>
    <t>Due wk</t>
  </si>
  <si>
    <t>Actual · Thực tế</t>
  </si>
  <si>
    <t>Met? (Y/N)</t>
  </si>
  <si>
    <t>Detailed plan &amp; phase KPIs approved</t>
  </si>
  <si>
    <t>Kế hoạch &amp; KPI được phê duyệt</t>
  </si>
  <si>
    <t>Signed by W3 (21/10/2026)</t>
  </si>
  <si>
    <t>Approval email / minutes</t>
  </si>
  <si>
    <t>Approved workbook</t>
  </si>
  <si>
    <t>TMA / DIR</t>
  </si>
  <si>
    <t>Project inputs received</t>
  </si>
  <si>
    <t>Đầu vào dự án đã nhận</t>
  </si>
  <si>
    <t>≥ 90% of input checklist by end of W1; 100% by W2</t>
  </si>
  <si>
    <t>Checklist completion</t>
  </si>
  <si>
    <t>Input checklist</t>
  </si>
  <si>
    <t>Source connectivity (legacy connector PoC)</t>
  </si>
  <si>
    <t>Kết nối nguồn (PoC legacy)</t>
  </si>
  <si>
    <t>100% sources reachable via SHIR: 15 NAV DBs, MySQL, PostgreSQL 18, files</t>
  </si>
  <si>
    <t>Test extraction per source</t>
  </si>
  <si>
    <t>PoC report</t>
  </si>
  <si>
    <t>TMA / DEV</t>
  </si>
  <si>
    <t>Environments provisioned</t>
  </si>
  <si>
    <t>Môi trường đã dựng</t>
  </si>
  <si>
    <t>Dev, UAT, Prod ready (3/3)</t>
  </si>
  <si>
    <t>Environment checklist</t>
  </si>
  <si>
    <t>Azure resource inventory</t>
  </si>
  <si>
    <t>HLA/LLD approved</t>
  </si>
  <si>
    <t>HLA/LLD được phê duyệt</t>
  </si>
  <si>
    <t>Approved by W4</t>
  </si>
  <si>
    <t>Review sign-off</t>
  </si>
  <si>
    <t>HLA/LLD document</t>
  </si>
  <si>
    <t>Platform baseline stability</t>
  </si>
  <si>
    <t>Độ ổn định nền tảng</t>
  </si>
  <si>
    <t>Sample hourly pipeline ≥ 95% successful runs over 5 consecutive working days</t>
  </si>
  <si>
    <t>ADF run history</t>
  </si>
  <si>
    <t>Azure Monitor export</t>
  </si>
  <si>
    <t>Security baseline</t>
  </si>
  <si>
    <t>Bảo mật nền</t>
  </si>
  <si>
    <t>100% RLS &amp; masking test cases passed; SSO working</t>
  </si>
  <si>
    <t>Security test cases</t>
  </si>
  <si>
    <t>Test results</t>
  </si>
  <si>
    <t>Timesheet E2E delivered</t>
  </si>
  <si>
    <t>Hoàn thành luồng Timesheet</t>
  </si>
  <si>
    <t>Live in UAT/Prod by end of W6</t>
  </si>
  <si>
    <t>Milestone review</t>
  </si>
  <si>
    <t>Demo + acceptance minutes</t>
  </si>
  <si>
    <t>TMA / BI</t>
  </si>
  <si>
    <t>Data freshness</t>
  </si>
  <si>
    <t>Độ trễ dữ liệu</t>
  </si>
  <si>
    <t>≤ 60 min from source change to MART</t>
  </si>
  <si>
    <t>Load timestamps vs. source</t>
  </si>
  <si>
    <t>Freshness test (Elementary)</t>
  </si>
  <si>
    <t>Reconciliation vs. legacy</t>
  </si>
  <si>
    <t>Đối soát với hệ thống cũ</t>
  </si>
  <si>
    <t>100% of ≤ 6 acceptance KPIs within agreed tolerance (TBC with SME)</t>
  </si>
  <si>
    <t>KPI comparison legacy vs. new</t>
  </si>
  <si>
    <t>BI / SME</t>
  </si>
  <si>
    <t>Data quality tests</t>
  </si>
  <si>
    <t>Kiểm thử chất lượng dữ liệu</t>
  </si>
  <si>
    <t>100% critical Elementary tests passing</t>
  </si>
  <si>
    <t>Elementary report</t>
  </si>
  <si>
    <t>DQ report</t>
  </si>
  <si>
    <t>Dashboard performance</t>
  </si>
  <si>
    <t>Hiệu năng dashboard</t>
  </si>
  <si>
    <t>Timesheet dashboard opens ≤ 30 s</t>
  </si>
  <si>
    <t>Timed load test</t>
  </si>
  <si>
    <t>Test log</t>
  </si>
  <si>
    <t>Pipelines in production</t>
  </si>
  <si>
    <t>Số pipeline vận hành</t>
  </si>
  <si>
    <t>6–7 pipelines incl. Timesheet</t>
  </si>
  <si>
    <t>Pipeline inventory</t>
  </si>
  <si>
    <t>dbt/ADF repository</t>
  </si>
  <si>
    <t>BI / TMA</t>
  </si>
  <si>
    <t>Pipeline reliability</t>
  </si>
  <si>
    <t>Độ tin cậy pipeline</t>
  </si>
  <si>
    <t>≥ 98% successful runs per week (after retries)</t>
  </si>
  <si>
    <t>Parallel-run reconciliation</t>
  </si>
  <si>
    <t>Đối soát chạy song song</t>
  </si>
  <si>
    <t>5 legacy dashboards: 100% KPIs within tolerance for ≥ 2 consecutive weeks</t>
  </si>
  <si>
    <t>Weekly reconciliation</t>
  </si>
  <si>
    <t>Reconciliation reports</t>
  </si>
  <si>
    <t>Integrations replaced</t>
  </si>
  <si>
    <t>Thay thế tích hợp</t>
  </si>
  <si>
    <t>4/4 integrations running on agreed schedule, 0 open critical defects</t>
  </si>
  <si>
    <t>Integration run log</t>
  </si>
  <si>
    <t>Run log + defect log</t>
  </si>
  <si>
    <t>Historical data</t>
  </si>
  <si>
    <t>Dữ liệu lịch sử</t>
  </si>
  <si>
    <t>100% of agreed history scope loaded &amp; reconciled (row counts)</t>
  </si>
  <si>
    <t>Row-count comparison</t>
  </si>
  <si>
    <t>History load report</t>
  </si>
  <si>
    <t>Internal enablement</t>
  </si>
  <si>
    <t>Năng lực nội bộ</t>
  </si>
  <si>
    <t>Archetype BI builds ≥ 4 of 5–6 pipelines with TMA guidance</t>
  </si>
  <si>
    <t>Commit history / reviews</t>
  </si>
  <si>
    <t>Git log</t>
  </si>
  <si>
    <t>UAT quality</t>
  </si>
  <si>
    <t>Chất lượng UAT</t>
  </si>
  <si>
    <t>0 open critical/high defects; feedback within 1 week</t>
  </si>
  <si>
    <t>Defect log</t>
  </si>
  <si>
    <t>UAT sign-off</t>
  </si>
  <si>
    <t>pgvector / text-to-SQL PoC</t>
  </si>
  <si>
    <t>PoC pgvector / text-to-SQL</t>
  </si>
  <si>
    <t>≥ 70% correct SQL on a 20-question test set (TBC); 100% read-only &amp; RLS-respected</t>
  </si>
  <si>
    <t>Test question set</t>
  </si>
  <si>
    <t>PoC test report</t>
  </si>
  <si>
    <t>Security scan</t>
  </si>
  <si>
    <t>Quét bảo mật</t>
  </si>
  <si>
    <t>0 open critical/high vulnerabilities</t>
  </si>
  <si>
    <t>Vulnerability scan</t>
  </si>
  <si>
    <t>Scan report</t>
  </si>
  <si>
    <t>DEV / TMA</t>
  </si>
  <si>
    <t>Handover documents</t>
  </si>
  <si>
    <t>Tài liệu bàn giao</t>
  </si>
  <si>
    <t>5/5 deliverables delivered (bilingual)</t>
  </si>
  <si>
    <t>Deliverable checklist</t>
  </si>
  <si>
    <t>Handover minutes</t>
  </si>
  <si>
    <t>Legacy DWH decommissioned</t>
  </si>
  <si>
    <t>Ngưng DWH cũ</t>
  </si>
  <si>
    <t>Stopped in W14 after M3 go decision</t>
  </si>
  <si>
    <t>Change record</t>
  </si>
  <si>
    <t>Decommission record</t>
  </si>
  <si>
    <t>Operations readiness</t>
  </si>
  <si>
    <t>Sẵn sàng vận hành</t>
  </si>
  <si>
    <t>Runbook delivered; DevOps &amp; BI trained (100% attendance of named staff)</t>
  </si>
  <si>
    <t>Training records</t>
  </si>
  <si>
    <t>Attendance + runbook</t>
  </si>
  <si>
    <t>Response time</t>
  </si>
  <si>
    <t>Thời gian phản hồi</t>
  </si>
  <si>
    <t>100% of requests responded within 2 working days</t>
  </si>
  <si>
    <t>Ticket timestamps</t>
  </si>
  <si>
    <t>Recovery objectives</t>
  </si>
  <si>
    <t>Mục tiêu khôi phục</t>
  </si>
  <si>
    <t>Restore tests meet RPO 1 business day / RTO 4 h</t>
  </si>
  <si>
    <t>Restore test</t>
  </si>
  <si>
    <t>Restore test reports</t>
  </si>
  <si>
    <t>Operational stability</t>
  </si>
  <si>
    <t>Vận hành ổn định</t>
  </si>
  <si>
    <t>≥ 98% pipeline success &amp; ≥ 95% hours fresh ≤ 60 min (monthly)</t>
  </si>
  <si>
    <t>ADF + Elementary</t>
  </si>
  <si>
    <t>Monthly ops review</t>
  </si>
  <si>
    <t>Self-sufficiency</t>
  </si>
  <si>
    <t>Tự chủ vận hành</t>
  </si>
  <si>
    <t>≥ 1 new pipeline/report shipped by Archetype team independently</t>
  </si>
  <si>
    <t>Git / release log</t>
  </si>
  <si>
    <t>Release record</t>
  </si>
  <si>
    <t>Final acceptance</t>
  </si>
  <si>
    <t>Nghiệm thu cuối</t>
  </si>
  <si>
    <t>Signed by end of W24</t>
  </si>
  <si>
    <t>Acceptance minutes</t>
  </si>
  <si>
    <t>KPI scorecard · Tổng hợp</t>
  </si>
  <si>
    <t># KPIs</t>
  </si>
  <si>
    <t># Met (Y)</t>
  </si>
  <si>
    <t>% Met</t>
  </si>
  <si>
    <t>Milestones &amp; acceptance · Mốc &amp; nghiệm thu</t>
  </si>
  <si>
    <t>Each milestone must be accepted before moving to the next stage (contract Art. 8.6). Client feedback within 15 working days of handover notice (Art. 8.2).</t>
  </si>
  <si>
    <t>Milestone (EN)</t>
  </si>
  <si>
    <t>Mốc (VI)</t>
  </si>
  <si>
    <t>Week</t>
  </si>
  <si>
    <t>Target date</t>
  </si>
  <si>
    <t>Acceptance criteria · Tiêu chí</t>
  </si>
  <si>
    <t>Sign-off</t>
  </si>
  <si>
    <t>Actual date</t>
  </si>
  <si>
    <t>M0</t>
  </si>
  <si>
    <t>Kick-off &amp; contract start</t>
  </si>
  <si>
    <t>Kick-off &amp; bắt đầu hợp đồng</t>
  </si>
  <si>
    <t>Kick-off held; payment milestone 1 (50%) invoiced</t>
  </si>
  <si>
    <t>Planned</t>
  </si>
  <si>
    <t>Nền tảng cơ sở</t>
  </si>
  <si>
    <t>All P1 KPIs met (Phase KPIs sheet)</t>
  </si>
  <si>
    <t>All P2 KPIs met</t>
  </si>
  <si>
    <t>Pipelines/dashboards accepted; go/no-go for decommission</t>
  </si>
  <si>
    <t>Nghiệm thu pipeline/dashboard; quyết định ngưng DWH cũ</t>
  </si>
  <si>
    <t>All P3 KPIs met; UAT signed</t>
  </si>
  <si>
    <t>Phase 1 delivery accepted (go-live)</t>
  </si>
  <si>
    <t>Nghiệm thu bàn giao Phase 1 (go-live)</t>
  </si>
  <si>
    <t>All P4 KPIs met; 5 deliverables handed over</t>
  </si>
  <si>
    <t>Hypercare closed; final acceptance</t>
  </si>
  <si>
    <t>Kết thúc hypercare; nghiệm thu cuối</t>
  </si>
  <si>
    <t>All P5 KPIs met</t>
  </si>
  <si>
    <t>W</t>
  </si>
  <si>
    <t>Warranty end</t>
  </si>
  <si>
    <t>Kết thúc bảo hành</t>
  </si>
  <si>
    <t>Defects in scope fixed free of charge until this date</t>
  </si>
  <si>
    <t>PAY2</t>
  </si>
  <si>
    <t>Payment milestone 2 (50%)</t>
  </si>
  <si>
    <t>Thanh toán đợt 2 (50%)</t>
  </si>
  <si>
    <t>Within 30 days after final acceptance &amp; warranty completion record (Art. 10)</t>
  </si>
  <si>
    <t>RAID log · Rủi ro, Giả định, Vấn đề, Phụ thuộc</t>
  </si>
  <si>
    <t>R = Risk (rủi ro) · A = Assumption (giả định) · I = Issue (vấn đề) · D = Dependency (phụ thuộc). Updated weekly with the status report.</t>
  </si>
  <si>
    <t>Description (EN)</t>
  </si>
  <si>
    <t>Mô tả (VI)</t>
  </si>
  <si>
    <t>Impact</t>
  </si>
  <si>
    <t>Likelihood</t>
  </si>
  <si>
    <t>Mitigation / Action</t>
  </si>
  <si>
    <t>R1</t>
  </si>
  <si>
    <t>Risk</t>
  </si>
  <si>
    <t>SQL Server 2008 TLS/driver incompatible with Self-hosted IR</t>
  </si>
  <si>
    <t>SQL Server 2008 không tương thích TLS/driver với SHIR</t>
  </si>
  <si>
    <t>High</t>
  </si>
  <si>
    <t>Medium</t>
  </si>
  <si>
    <t>PoC in W2; fallback driver/TLS settings; CR if limits remain</t>
  </si>
  <si>
    <t>Open</t>
  </si>
  <si>
    <t>R2</t>
  </si>
  <si>
    <t>Master data (entity, office, country) not standardized until 11/2026</t>
  </si>
  <si>
    <t>Master data chưa chuẩn hóa xong đến 11/2026</t>
  </si>
  <si>
    <t>Use mapping tables &amp; default codes; reprocess once finalized</t>
  </si>
  <si>
    <t>R3</t>
  </si>
  <si>
    <t>Decide in 1.7; partition &amp; summarize older years</t>
  </si>
  <si>
    <t>R4</t>
  </si>
  <si>
    <t>SME availability for KPI/mapping confirmation</t>
  </si>
  <si>
    <t>SME không kịp xác nhận KPI/mapping</t>
  </si>
  <si>
    <t>2-working-day response rule; escalate to Director</t>
  </si>
  <si>
    <t>R5</t>
  </si>
  <si>
    <t>Archetype BI ramp-up on dbt/ADF slower than planned</t>
  </si>
  <si>
    <t>Đội BI làm quen dbt/ADF chậm hơn kế hoạch</t>
  </si>
  <si>
    <t>Training #1–#2, weekly clinics, reference pipeline</t>
  </si>
  <si>
    <t>A1</t>
  </si>
  <si>
    <t>Assumption</t>
  </si>
  <si>
    <t>Archetype provisions Azure services, VPN and Windows VM by W3</t>
  </si>
  <si>
    <t>Archetype cấp dịch vụ Azure, VPN, Windows VM trước W3</t>
  </si>
  <si>
    <t>Track in 1.8</t>
  </si>
  <si>
    <t>A2</t>
  </si>
  <si>
    <t>DWH is read-only; hourly batch, no CDC in Phase 1</t>
  </si>
  <si>
    <t>DWH chỉ đọc; batch theo giờ, không CDC</t>
  </si>
  <si>
    <t>Confirmed in contract assumptions</t>
  </si>
  <si>
    <t>Closed</t>
  </si>
  <si>
    <t>D1</t>
  </si>
  <si>
    <t>Dependency</t>
  </si>
  <si>
    <t>Timesheet requirements from Archetype BI in W1</t>
  </si>
  <si>
    <t>Yêu cầu Timesheet từ BI Archetype trong W1</t>
  </si>
  <si>
    <t>Blocks P2 start</t>
  </si>
  <si>
    <t>D2</t>
  </si>
  <si>
    <t>Contract wording update for tech stack (ADF + dbt, no Airflow/dlt)</t>
  </si>
  <si>
    <t>Cập nhật câu chữ HĐ về stack (ADF + dbt, bỏ Airflow/dlt)</t>
  </si>
  <si>
    <t>Contract amendment / appendix</t>
  </si>
  <si>
    <t>I1</t>
  </si>
  <si>
    <t>Issue</t>
  </si>
  <si>
    <t>(example) Service account for MySQL not yet created</t>
  </si>
  <si>
    <t>(ví dụ) Chưa có service account MySQL</t>
  </si>
  <si>
    <t>Request raised to DevOps</t>
  </si>
  <si>
    <t>Chốt vấn đề mở: phạm vi lịch sử, số bảng NAV, hướng 4 tích hợp</t>
  </si>
  <si>
    <t>Confirm open items: history scope, NAV table count, integration directions</t>
  </si>
  <si>
    <t>Historical load scope unclear (full history vs. 2 years); Timesheet 1.5M rows</t>
  </si>
  <si>
    <t>Phạm vi dữ liệu lịch sử chưa rõ; Timesheet 1.5 triệu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</si>
</sst>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"/>
    <numFmt numFmtId="166" formatCode="dd/mm/yy"/>
  </numFmts>
  <fonts count="15" x14ac:knownFonts="1">
    <font>
      <sz val="11"/>
      <color theme="1"/>
      <name val="Calibri"/>
      <family val="2"/>
      <charset val="1"/>
    </font>
    <font>
      <b/>
      <sz val="16"/>
      <color rgb="FF0B5CAD"/>
      <name val="Arial"/>
      <charset val="1"/>
    </font>
    <font>
      <i/>
      <sz val="11"/>
      <color rgb="FF5B6670"/>
      <name val="Arial"/>
      <charset val="1"/>
    </font>
    <font>
      <b/>
      <sz val="10"/>
      <color rgb="FF1F2B37"/>
      <name val="Arial"/>
      <charset val="1"/>
    </font>
    <font>
      <sz val="10"/>
      <color rgb="FF0000FF"/>
      <name val="Arial"/>
      <charset val="1"/>
    </font>
    <font>
      <i/>
      <sz val="10"/>
      <color rgb="FF5B6670"/>
      <name val="Arial"/>
      <charset val="1"/>
    </font>
    <font>
      <sz val="10"/>
      <color rgb="FF1F2B37"/>
      <name val="Arial"/>
      <charset val="1"/>
    </font>
    <font>
      <b/>
      <sz val="12"/>
      <color rgb="FF0B5CAD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4"/>
      <color rgb="FF0B5CAD"/>
      <name val="Arial"/>
      <charset val="1"/>
    </font>
    <font>
      <b/>
      <sz val="9"/>
      <color rgb="FFFFFFFF"/>
      <name val="Arial"/>
      <charset val="1"/>
    </font>
    <font>
      <sz val="8"/>
      <color rgb="FF1F2B37"/>
      <name val="Arial"/>
      <charset val="1"/>
    </font>
    <font>
      <b/>
      <sz val="10"/>
      <color rgb="FF0B5CAD"/>
      <name val="Arial"/>
      <charset val="1"/>
    </font>
    <font>
      <sz val="10"/>
      <color rgb="FFC55A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FF2CC"/>
      </patternFill>
    </fill>
    <fill>
      <patternFill patternType="solid">
        <fgColor rgb="FF1EA0FE"/>
        <bgColor rgb="FF33CCCC"/>
      </patternFill>
    </fill>
    <fill>
      <patternFill patternType="solid">
        <fgColor rgb="FFD9EFFC"/>
        <bgColor rgb="FFCCFFFF"/>
      </patternFill>
    </fill>
    <fill>
      <patternFill patternType="solid">
        <fgColor rgb="FFFFF2CC"/>
        <bgColor rgb="FFFFF9DB"/>
      </patternFill>
    </fill>
  </fills>
  <borders count="2">
    <border>
      <left/>
      <right/>
      <top/>
      <bottom/>
      <diagonal/>
    </border>
    <border>
      <left style="thin">
        <color rgb="FFBFD7EA"/>
      </left>
      <right style="thin">
        <color rgb="FFBFD7EA"/>
      </right>
      <top style="thin">
        <color rgb="FFBFD7EA"/>
      </top>
      <bottom style="thin">
        <color rgb="FFBFD7E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166" fontId="13" fillId="4" borderId="1" xfId="0" applyNumberFormat="1" applyFont="1" applyFill="1" applyBorder="1" applyAlignment="1">
      <alignment horizontal="center" vertical="center" wrapText="1"/>
    </xf>
    <xf numFmtId="9" fontId="13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1EA0FE"/>
        </patternFill>
      </fill>
    </dxf>
    <dxf>
      <fill>
        <patternFill>
          <bgColor rgb="FF70AD47"/>
        </patternFill>
      </fill>
    </dxf>
    <dxf>
      <fill>
        <patternFill>
          <bgColor rgb="FF0B5CAD"/>
        </patternFill>
      </fill>
    </dxf>
    <dxf>
      <fill>
        <patternFill>
          <bgColor rgb="FFF28C28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D9EFFC"/>
      <rgbColor rgb="FF660066"/>
      <rgbColor rgb="FFFF8080"/>
      <rgbColor rgb="FF0B5CAD"/>
      <rgbColor rgb="FFBFD7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EA0FE"/>
      <rgbColor rgb="FFCCFFFF"/>
      <rgbColor rgb="FFC6EFCE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28C28"/>
      <rgbColor rgb="FFC55A11"/>
      <rgbColor rgb="FF5B6670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1F2B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selection activeCell="B5" sqref="B5"/>
    </sheetView>
  </sheetViews>
  <sheetFormatPr defaultColWidth="8.7109375" defaultRowHeight="15" x14ac:dyDescent="0.25"/>
  <cols>
    <col min="1" max="1" width="34" customWidth="1"/>
    <col min="2" max="2" width="62" customWidth="1"/>
    <col min="3" max="4" width="9" customWidth="1"/>
    <col min="5" max="6" width="12" customWidth="1"/>
    <col min="7" max="7" width="36" customWidth="1"/>
    <col min="8" max="8" width="14" customWidth="1"/>
  </cols>
  <sheetData>
    <row r="1" spans="1:8" ht="19.5" customHeight="1" x14ac:dyDescent="0.3">
      <c r="A1" s="3" t="s">
        <v>0</v>
      </c>
    </row>
    <row r="2" spans="1:8" ht="15" customHeight="1" x14ac:dyDescent="0.25">
      <c r="A2" s="4" t="s">
        <v>1</v>
      </c>
    </row>
    <row r="4" spans="1:8" ht="15" customHeight="1" x14ac:dyDescent="0.25">
      <c r="A4" s="5" t="s">
        <v>2</v>
      </c>
      <c r="B4" s="6">
        <f>DATE(2026,10,5)</f>
        <v>46300</v>
      </c>
      <c r="C4" s="7" t="s">
        <v>3</v>
      </c>
    </row>
    <row r="5" spans="1:8" ht="15" customHeight="1" x14ac:dyDescent="0.25">
      <c r="A5" s="5" t="s">
        <v>4</v>
      </c>
      <c r="B5" s="8">
        <f>DATE(2027,4,9)</f>
        <v>46486</v>
      </c>
      <c r="C5" s="7" t="s">
        <v>5</v>
      </c>
    </row>
    <row r="6" spans="1:8" ht="15" customHeight="1" x14ac:dyDescent="0.25">
      <c r="A6" s="5" t="s">
        <v>6</v>
      </c>
      <c r="B6" s="8">
        <f>DATE(2027,7,6)</f>
        <v>46574</v>
      </c>
      <c r="C6" s="7" t="s">
        <v>7</v>
      </c>
    </row>
    <row r="7" spans="1:8" ht="15" customHeight="1" x14ac:dyDescent="0.25">
      <c r="A7" s="5" t="s">
        <v>8</v>
      </c>
      <c r="B7" s="8" t="s">
        <v>9</v>
      </c>
      <c r="C7" s="7" t="s">
        <v>10</v>
      </c>
    </row>
    <row r="9" spans="1:8" ht="15" customHeight="1" x14ac:dyDescent="0.25">
      <c r="A9" s="9" t="s">
        <v>11</v>
      </c>
    </row>
    <row r="10" spans="1:8" ht="23.25" customHeight="1" x14ac:dyDescent="0.25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19</v>
      </c>
    </row>
    <row r="11" spans="1:8" ht="23.25" customHeight="1" x14ac:dyDescent="0.25">
      <c r="A11" s="11" t="s">
        <v>20</v>
      </c>
      <c r="B11" s="12" t="s">
        <v>21</v>
      </c>
      <c r="C11" s="11">
        <f>_xlfn.MINIFS(WBS!$H:$H,WBS!$B:$B,A11,WBS!$C:$C,"Task")</f>
        <v>1</v>
      </c>
      <c r="D11" s="11">
        <f>_xlfn.MAXIFS(WBS!$I:$I,WBS!$B:$B,A11,WBS!$C:$C,"Task")</f>
        <v>5</v>
      </c>
      <c r="E11" s="13">
        <f>$B$4+7*(C11-1)</f>
        <v>46300</v>
      </c>
      <c r="F11" s="13">
        <f>$B$4+7*(D11-1)+4</f>
        <v>46332</v>
      </c>
      <c r="G11" s="12" t="s">
        <v>22</v>
      </c>
      <c r="H11" s="14">
        <f>IFERROR(AVERAGEIFS(WBS!$N:$N,WBS!$B:$B,A11,WBS!$C:$C,"Task"),0)</f>
        <v>0</v>
      </c>
    </row>
    <row r="12" spans="1:8" ht="15" customHeight="1" x14ac:dyDescent="0.25">
      <c r="A12" s="11" t="s">
        <v>23</v>
      </c>
      <c r="B12" s="12" t="s">
        <v>24</v>
      </c>
      <c r="C12" s="11">
        <f>_xlfn.MINIFS(WBS!$H:$H,WBS!$B:$B,A12,WBS!$C:$C,"Task")</f>
        <v>5</v>
      </c>
      <c r="D12" s="11">
        <f>_xlfn.MAXIFS(WBS!$I:$I,WBS!$B:$B,A12,WBS!$C:$C,"Task")</f>
        <v>6</v>
      </c>
      <c r="E12" s="13">
        <f>$B$4+7*(C12-1)</f>
        <v>46328</v>
      </c>
      <c r="F12" s="13">
        <f>$B$4+7*(D12-1)+4</f>
        <v>46339</v>
      </c>
      <c r="G12" s="12" t="s">
        <v>25</v>
      </c>
      <c r="H12" s="14">
        <f>IFERROR(AVERAGEIFS(WBS!$N:$N,WBS!$B:$B,A12,WBS!$C:$C,"Task"),0)</f>
        <v>0</v>
      </c>
    </row>
    <row r="13" spans="1:8" ht="23.25" customHeight="1" x14ac:dyDescent="0.25">
      <c r="A13" s="11" t="s">
        <v>26</v>
      </c>
      <c r="B13" s="12" t="s">
        <v>27</v>
      </c>
      <c r="C13" s="11">
        <f>_xlfn.MINIFS(WBS!$H:$H,WBS!$B:$B,A13,WBS!$C:$C,"Task")</f>
        <v>7</v>
      </c>
      <c r="D13" s="11">
        <f>_xlfn.MAXIFS(WBS!$I:$I,WBS!$B:$B,A13,WBS!$C:$C,"Task")</f>
        <v>13</v>
      </c>
      <c r="E13" s="13">
        <f>$B$4+7*(C13-1)</f>
        <v>46342</v>
      </c>
      <c r="F13" s="13">
        <f>$B$4+7*(D13-1)+4</f>
        <v>46388</v>
      </c>
      <c r="G13" s="12" t="s">
        <v>28</v>
      </c>
      <c r="H13" s="14">
        <f>IFERROR(AVERAGEIFS(WBS!$N:$N,WBS!$B:$B,A13,WBS!$C:$C,"Task"),0)</f>
        <v>0</v>
      </c>
    </row>
    <row r="14" spans="1:8" ht="15" customHeight="1" x14ac:dyDescent="0.25">
      <c r="A14" s="11" t="s">
        <v>29</v>
      </c>
      <c r="B14" s="12" t="s">
        <v>30</v>
      </c>
      <c r="C14" s="11">
        <f>_xlfn.MINIFS(WBS!$H:$H,WBS!$B:$B,A14,WBS!$C:$C,"Task")</f>
        <v>13</v>
      </c>
      <c r="D14" s="11">
        <f>_xlfn.MAXIFS(WBS!$I:$I,WBS!$B:$B,A14,WBS!$C:$C,"Task")</f>
        <v>14</v>
      </c>
      <c r="E14" s="13">
        <f>$B$4+7*(C14-1)</f>
        <v>46384</v>
      </c>
      <c r="F14" s="13">
        <f>$B$4+7*(D14-1)+4</f>
        <v>46395</v>
      </c>
      <c r="G14" s="12" t="s">
        <v>31</v>
      </c>
      <c r="H14" s="14">
        <f>IFERROR(AVERAGEIFS(WBS!$N:$N,WBS!$B:$B,A14,WBS!$C:$C,"Task"),0)</f>
        <v>0</v>
      </c>
    </row>
    <row r="15" spans="1:8" ht="15" customHeight="1" x14ac:dyDescent="0.25">
      <c r="A15" s="11" t="s">
        <v>32</v>
      </c>
      <c r="B15" s="12" t="s">
        <v>33</v>
      </c>
      <c r="C15" s="11">
        <f>_xlfn.MINIFS(WBS!$H:$H,WBS!$B:$B,A15,WBS!$C:$C,"Task")</f>
        <v>15</v>
      </c>
      <c r="D15" s="11">
        <f>_xlfn.MAXIFS(WBS!$I:$I,WBS!$B:$B,A15,WBS!$C:$C,"Task")</f>
        <v>24</v>
      </c>
      <c r="E15" s="13">
        <f>$B$4+7*(C15-1)</f>
        <v>46398</v>
      </c>
      <c r="F15" s="13">
        <f>$B$4+7*(D15-1)+4</f>
        <v>46465</v>
      </c>
      <c r="G15" s="12" t="s">
        <v>34</v>
      </c>
      <c r="H15" s="14">
        <f>IFERROR(AVERAGEIFS(WBS!$N:$N,WBS!$B:$B,A15,WBS!$C:$C,"Task"),0)</f>
        <v>0</v>
      </c>
    </row>
    <row r="17" spans="1:8" ht="15" customHeight="1" x14ac:dyDescent="0.25">
      <c r="A17" s="9" t="s">
        <v>35</v>
      </c>
    </row>
    <row r="18" spans="1:8" ht="27.75" customHeight="1" x14ac:dyDescent="0.25">
      <c r="A18" s="2" t="s">
        <v>36</v>
      </c>
      <c r="B18" s="2"/>
      <c r="C18" s="2"/>
      <c r="D18" s="2"/>
      <c r="E18" s="2"/>
      <c r="F18" s="2"/>
      <c r="G18" s="2"/>
      <c r="H18" s="2"/>
    </row>
    <row r="19" spans="1:8" ht="27.75" customHeight="1" x14ac:dyDescent="0.25">
      <c r="A19" s="2" t="s">
        <v>37</v>
      </c>
      <c r="B19" s="2"/>
      <c r="C19" s="2"/>
      <c r="D19" s="2"/>
      <c r="E19" s="2"/>
      <c r="F19" s="2"/>
      <c r="G19" s="2"/>
      <c r="H19" s="2"/>
    </row>
    <row r="20" spans="1:8" ht="27.75" customHeight="1" x14ac:dyDescent="0.25">
      <c r="A20" s="2" t="s">
        <v>38</v>
      </c>
      <c r="B20" s="2"/>
      <c r="C20" s="2"/>
      <c r="D20" s="2"/>
      <c r="E20" s="2"/>
      <c r="F20" s="2"/>
      <c r="G20" s="2"/>
      <c r="H20" s="2"/>
    </row>
    <row r="21" spans="1:8" ht="27.75" customHeight="1" x14ac:dyDescent="0.25">
      <c r="A21" s="2" t="s">
        <v>39</v>
      </c>
      <c r="B21" s="2"/>
      <c r="C21" s="2"/>
      <c r="D21" s="2"/>
      <c r="E21" s="2"/>
      <c r="F21" s="2"/>
      <c r="G21" s="2"/>
      <c r="H21" s="2"/>
    </row>
    <row r="22" spans="1:8" ht="27.75" customHeight="1" x14ac:dyDescent="0.25">
      <c r="A22" s="2" t="s">
        <v>40</v>
      </c>
      <c r="B22" s="2"/>
      <c r="C22" s="2"/>
      <c r="D22" s="2"/>
      <c r="E22" s="2"/>
      <c r="F22" s="2"/>
      <c r="G22" s="2"/>
      <c r="H22" s="2"/>
    </row>
  </sheetData>
  <mergeCells count="5">
    <mergeCell ref="A18:H18"/>
    <mergeCell ref="A19:H19"/>
    <mergeCell ref="A20:H20"/>
    <mergeCell ref="A21:H21"/>
    <mergeCell ref="A22:H2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58"/>
  <sheetViews>
    <sheetView showGridLines="0" zoomScaleNormal="100" workbookViewId="0">
      <pane xSplit="5" ySplit="5" topLeftCell="N12" activePane="bottomRight" state="frozen"/>
      <selection pane="topRight" activeCell="F1" sqref="F1"/>
      <selection pane="bottomLeft" activeCell="A6" sqref="A6"/>
      <selection pane="bottomRight" activeCell="E35" sqref="E35"/>
    </sheetView>
  </sheetViews>
  <sheetFormatPr defaultColWidth="8.7109375" defaultRowHeight="15" x14ac:dyDescent="0.25"/>
  <cols>
    <col min="1" max="2" width="6" customWidth="1"/>
    <col min="3" max="3" width="10" customWidth="1"/>
    <col min="4" max="5" width="46" customWidth="1"/>
    <col min="6" max="6" width="8" customWidth="1"/>
    <col min="7" max="7" width="10" customWidth="1"/>
    <col min="8" max="9" width="7" customWidth="1"/>
    <col min="10" max="11" width="10" customWidth="1"/>
    <col min="12" max="12" width="30" customWidth="1"/>
    <col min="13" max="13" width="12" customWidth="1"/>
    <col min="14" max="14" width="10" customWidth="1"/>
    <col min="15" max="38" width="5.140625" customWidth="1"/>
  </cols>
  <sheetData>
    <row r="1" spans="1:38" ht="17.25" customHeight="1" x14ac:dyDescent="0.25">
      <c r="A1" s="15" t="s">
        <v>41</v>
      </c>
    </row>
    <row r="2" spans="1:38" ht="15" customHeight="1" x14ac:dyDescent="0.25">
      <c r="A2" s="7" t="s">
        <v>42</v>
      </c>
    </row>
    <row r="4" spans="1:38" ht="30" customHeight="1" x14ac:dyDescent="0.25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50</v>
      </c>
      <c r="M4" s="1" t="s">
        <v>51</v>
      </c>
      <c r="N4" s="1" t="s">
        <v>52</v>
      </c>
      <c r="O4" s="16" t="s">
        <v>53</v>
      </c>
      <c r="P4" s="16" t="s">
        <v>54</v>
      </c>
      <c r="Q4" s="16" t="s">
        <v>55</v>
      </c>
      <c r="R4" s="16" t="s">
        <v>56</v>
      </c>
      <c r="S4" s="16" t="s">
        <v>57</v>
      </c>
      <c r="T4" s="16" t="s">
        <v>58</v>
      </c>
      <c r="U4" s="16" t="s">
        <v>59</v>
      </c>
      <c r="V4" s="16" t="s">
        <v>60</v>
      </c>
      <c r="W4" s="16" t="s">
        <v>61</v>
      </c>
      <c r="X4" s="16" t="s">
        <v>62</v>
      </c>
      <c r="Y4" s="16" t="s">
        <v>63</v>
      </c>
      <c r="Z4" s="16" t="s">
        <v>64</v>
      </c>
      <c r="AA4" s="16" t="s">
        <v>65</v>
      </c>
      <c r="AB4" s="16" t="s">
        <v>66</v>
      </c>
      <c r="AC4" s="16" t="s">
        <v>67</v>
      </c>
      <c r="AD4" s="16" t="s">
        <v>68</v>
      </c>
      <c r="AE4" s="16" t="s">
        <v>69</v>
      </c>
      <c r="AF4" s="16" t="s">
        <v>70</v>
      </c>
      <c r="AG4" s="16" t="s">
        <v>71</v>
      </c>
      <c r="AH4" s="16" t="s">
        <v>72</v>
      </c>
      <c r="AI4" s="16" t="s">
        <v>73</v>
      </c>
      <c r="AJ4" s="16" t="s">
        <v>74</v>
      </c>
      <c r="AK4" s="16" t="s">
        <v>75</v>
      </c>
      <c r="AL4" s="16" t="s">
        <v>76</v>
      </c>
    </row>
    <row r="5" spans="1:3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7">
        <f>Overview!$B$4+7*(1-1)</f>
        <v>46300</v>
      </c>
      <c r="P5" s="17">
        <f>Overview!$B$4+7*(2-1)</f>
        <v>46307</v>
      </c>
      <c r="Q5" s="17">
        <f>Overview!$B$4+7*(3-1)</f>
        <v>46314</v>
      </c>
      <c r="R5" s="17">
        <f>Overview!$B$4+7*(4-1)</f>
        <v>46321</v>
      </c>
      <c r="S5" s="17">
        <f>Overview!$B$4+7*(5-1)</f>
        <v>46328</v>
      </c>
      <c r="T5" s="17">
        <f>Overview!$B$4+7*(6-1)</f>
        <v>46335</v>
      </c>
      <c r="U5" s="17">
        <f>Overview!$B$4+7*(7-1)</f>
        <v>46342</v>
      </c>
      <c r="V5" s="17">
        <f>Overview!$B$4+7*(8-1)</f>
        <v>46349</v>
      </c>
      <c r="W5" s="17">
        <f>Overview!$B$4+7*(9-1)</f>
        <v>46356</v>
      </c>
      <c r="X5" s="17">
        <f>Overview!$B$4+7*(10-1)</f>
        <v>46363</v>
      </c>
      <c r="Y5" s="17">
        <f>Overview!$B$4+7*(11-1)</f>
        <v>46370</v>
      </c>
      <c r="Z5" s="17">
        <f>Overview!$B$4+7*(12-1)</f>
        <v>46377</v>
      </c>
      <c r="AA5" s="17">
        <f>Overview!$B$4+7*(13-1)</f>
        <v>46384</v>
      </c>
      <c r="AB5" s="17">
        <f>Overview!$B$4+7*(14-1)</f>
        <v>46391</v>
      </c>
      <c r="AC5" s="17">
        <f>Overview!$B$4+7*(15-1)</f>
        <v>46398</v>
      </c>
      <c r="AD5" s="17">
        <f>Overview!$B$4+7*(16-1)</f>
        <v>46405</v>
      </c>
      <c r="AE5" s="17">
        <f>Overview!$B$4+7*(17-1)</f>
        <v>46412</v>
      </c>
      <c r="AF5" s="17">
        <f>Overview!$B$4+7*(18-1)</f>
        <v>46419</v>
      </c>
      <c r="AG5" s="17">
        <f>Overview!$B$4+7*(19-1)</f>
        <v>46426</v>
      </c>
      <c r="AH5" s="17">
        <f>Overview!$B$4+7*(20-1)</f>
        <v>46433</v>
      </c>
      <c r="AI5" s="17">
        <f>Overview!$B$4+7*(21-1)</f>
        <v>46440</v>
      </c>
      <c r="AJ5" s="17">
        <f>Overview!$B$4+7*(22-1)</f>
        <v>46447</v>
      </c>
      <c r="AK5" s="17">
        <f>Overview!$B$4+7*(23-1)</f>
        <v>46454</v>
      </c>
      <c r="AL5" s="17">
        <f>Overview!$B$4+7*(24-1)</f>
        <v>46461</v>
      </c>
    </row>
    <row r="6" spans="1:38" ht="15" customHeight="1" x14ac:dyDescent="0.25">
      <c r="A6" s="18" t="s">
        <v>20</v>
      </c>
      <c r="B6" s="18" t="s">
        <v>20</v>
      </c>
      <c r="C6" s="18" t="s">
        <v>44</v>
      </c>
      <c r="D6" s="19" t="s">
        <v>77</v>
      </c>
      <c r="E6" s="19" t="s">
        <v>78</v>
      </c>
      <c r="F6" s="18" t="s">
        <v>79</v>
      </c>
      <c r="G6" s="18" t="s">
        <v>80</v>
      </c>
      <c r="H6" s="18">
        <f>_xlfn.MINIFS($H:$H,$B:$B,B6,$C:$C,"&lt;&gt;Phase")</f>
        <v>1</v>
      </c>
      <c r="I6" s="18">
        <f>_xlfn.MAXIFS($I:$I,$B:$B,B6,$C:$C,"&lt;&gt;Phase")</f>
        <v>5</v>
      </c>
      <c r="J6" s="20">
        <f>Overview!$B$4+7*(H6-1)</f>
        <v>46300</v>
      </c>
      <c r="K6" s="20">
        <f>Overview!$B$4+7*(I6-1)+4</f>
        <v>46332</v>
      </c>
      <c r="L6" s="19" t="s">
        <v>81</v>
      </c>
      <c r="M6" s="18" t="str">
        <f>IF(N6&gt;=1,"Done",IF(N6&gt;0,"In progress","Not started"))</f>
        <v>Not started</v>
      </c>
      <c r="N6" s="21">
        <f>IFERROR(AVERAGEIFS($N:$N,$B:$B,B6,$C:$C,"Task"),0)</f>
        <v>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spans="1:38" ht="15" customHeight="1" x14ac:dyDescent="0.25">
      <c r="A7" s="11" t="s">
        <v>82</v>
      </c>
      <c r="B7" s="11" t="s">
        <v>20</v>
      </c>
      <c r="C7" s="11" t="s">
        <v>83</v>
      </c>
      <c r="D7" s="12" t="s">
        <v>84</v>
      </c>
      <c r="E7" s="12" t="s">
        <v>85</v>
      </c>
      <c r="F7" s="11" t="s">
        <v>79</v>
      </c>
      <c r="G7" s="11" t="s">
        <v>80</v>
      </c>
      <c r="H7" s="23">
        <v>1</v>
      </c>
      <c r="I7" s="23">
        <v>1</v>
      </c>
      <c r="J7" s="24">
        <f>Overview!$B$4+7*(H7-1)</f>
        <v>46300</v>
      </c>
      <c r="K7" s="24">
        <f>Overview!$B$4+7*(I7-1)+4</f>
        <v>46304</v>
      </c>
      <c r="L7" s="12" t="s">
        <v>86</v>
      </c>
      <c r="M7" s="25" t="s">
        <v>87</v>
      </c>
      <c r="N7" s="26">
        <v>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23.25" customHeight="1" x14ac:dyDescent="0.25">
      <c r="A8" s="11" t="s">
        <v>88</v>
      </c>
      <c r="B8" s="11" t="s">
        <v>20</v>
      </c>
      <c r="C8" s="11" t="s">
        <v>83</v>
      </c>
      <c r="D8" s="12" t="s">
        <v>89</v>
      </c>
      <c r="E8" s="12" t="s">
        <v>90</v>
      </c>
      <c r="F8" s="11" t="s">
        <v>80</v>
      </c>
      <c r="G8" s="11" t="s">
        <v>79</v>
      </c>
      <c r="H8" s="23">
        <v>1</v>
      </c>
      <c r="I8" s="23">
        <v>1</v>
      </c>
      <c r="J8" s="24">
        <f>Overview!$B$4+7*(H8-1)</f>
        <v>46300</v>
      </c>
      <c r="K8" s="24">
        <f>Overview!$B$4+7*(I8-1)+4</f>
        <v>46304</v>
      </c>
      <c r="L8" s="12" t="s">
        <v>91</v>
      </c>
      <c r="M8" s="25" t="s">
        <v>87</v>
      </c>
      <c r="N8" s="26">
        <v>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spans="1:38" ht="15" customHeight="1" x14ac:dyDescent="0.25">
      <c r="A9" s="11" t="s">
        <v>92</v>
      </c>
      <c r="B9" s="11" t="s">
        <v>20</v>
      </c>
      <c r="C9" s="11" t="s">
        <v>83</v>
      </c>
      <c r="D9" s="12" t="s">
        <v>93</v>
      </c>
      <c r="E9" s="12" t="s">
        <v>94</v>
      </c>
      <c r="F9" s="11" t="s">
        <v>95</v>
      </c>
      <c r="G9" s="11" t="s">
        <v>79</v>
      </c>
      <c r="H9" s="23">
        <v>1</v>
      </c>
      <c r="I9" s="23">
        <v>1</v>
      </c>
      <c r="J9" s="24">
        <f>Overview!$B$4+7*(H9-1)</f>
        <v>46300</v>
      </c>
      <c r="K9" s="24">
        <f>Overview!$B$4+7*(I9-1)+4</f>
        <v>46304</v>
      </c>
      <c r="L9" s="12" t="s">
        <v>96</v>
      </c>
      <c r="M9" s="25" t="s">
        <v>87</v>
      </c>
      <c r="N9" s="26">
        <v>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1:38" ht="23.25" customHeight="1" x14ac:dyDescent="0.25">
      <c r="A10" s="11" t="s">
        <v>97</v>
      </c>
      <c r="B10" s="11" t="s">
        <v>20</v>
      </c>
      <c r="C10" s="11" t="s">
        <v>83</v>
      </c>
      <c r="D10" s="12" t="s">
        <v>98</v>
      </c>
      <c r="E10" s="12" t="s">
        <v>99</v>
      </c>
      <c r="F10" s="11" t="s">
        <v>79</v>
      </c>
      <c r="G10" s="11" t="s">
        <v>100</v>
      </c>
      <c r="H10" s="23">
        <v>1</v>
      </c>
      <c r="I10" s="23">
        <v>3</v>
      </c>
      <c r="J10" s="24">
        <f>Overview!$B$4+7*(H10-1)</f>
        <v>46300</v>
      </c>
      <c r="K10" s="24">
        <f>Overview!$B$4+7*(I10-1)+4</f>
        <v>46318</v>
      </c>
      <c r="L10" s="12" t="s">
        <v>101</v>
      </c>
      <c r="M10" s="25" t="s">
        <v>87</v>
      </c>
      <c r="N10" s="26">
        <v>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ht="23.25" customHeight="1" x14ac:dyDescent="0.25">
      <c r="A11" s="11" t="s">
        <v>102</v>
      </c>
      <c r="B11" s="11" t="s">
        <v>20</v>
      </c>
      <c r="C11" s="11" t="s">
        <v>83</v>
      </c>
      <c r="D11" s="12" t="s">
        <v>103</v>
      </c>
      <c r="E11" s="12" t="s">
        <v>104</v>
      </c>
      <c r="F11" s="11" t="s">
        <v>79</v>
      </c>
      <c r="G11" s="11" t="s">
        <v>105</v>
      </c>
      <c r="H11" s="23">
        <v>1</v>
      </c>
      <c r="I11" s="23">
        <v>2</v>
      </c>
      <c r="J11" s="24">
        <f>Overview!$B$4+7*(H11-1)</f>
        <v>46300</v>
      </c>
      <c r="K11" s="24">
        <f>Overview!$B$4+7*(I11-1)+4</f>
        <v>46311</v>
      </c>
      <c r="L11" s="12" t="s">
        <v>106</v>
      </c>
      <c r="M11" s="25" t="s">
        <v>87</v>
      </c>
      <c r="N11" s="26">
        <v>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ht="23.25" customHeight="1" x14ac:dyDescent="0.25">
      <c r="A12" s="11" t="s">
        <v>107</v>
      </c>
      <c r="B12" s="11" t="s">
        <v>20</v>
      </c>
      <c r="C12" s="11" t="s">
        <v>83</v>
      </c>
      <c r="D12" s="12" t="s">
        <v>108</v>
      </c>
      <c r="E12" s="12" t="s">
        <v>109</v>
      </c>
      <c r="F12" s="11" t="s">
        <v>79</v>
      </c>
      <c r="G12" s="11" t="s">
        <v>110</v>
      </c>
      <c r="H12" s="23">
        <v>2</v>
      </c>
      <c r="I12" s="23">
        <v>2</v>
      </c>
      <c r="J12" s="24">
        <f>Overview!$B$4+7*(H12-1)</f>
        <v>46307</v>
      </c>
      <c r="K12" s="24">
        <f>Overview!$B$4+7*(I12-1)+4</f>
        <v>46311</v>
      </c>
      <c r="L12" s="12" t="s">
        <v>111</v>
      </c>
      <c r="M12" s="25" t="s">
        <v>87</v>
      </c>
      <c r="N12" s="26">
        <v>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spans="1:38" ht="23.25" customHeight="1" x14ac:dyDescent="0.25">
      <c r="A13" s="11" t="s">
        <v>112</v>
      </c>
      <c r="B13" s="11" t="s">
        <v>20</v>
      </c>
      <c r="C13" s="11" t="s">
        <v>83</v>
      </c>
      <c r="D13" s="12" t="s">
        <v>536</v>
      </c>
      <c r="E13" s="12" t="s">
        <v>535</v>
      </c>
      <c r="F13" s="11" t="s">
        <v>80</v>
      </c>
      <c r="G13" s="11" t="s">
        <v>79</v>
      </c>
      <c r="H13" s="23">
        <v>1</v>
      </c>
      <c r="I13" s="23">
        <v>2</v>
      </c>
      <c r="J13" s="24">
        <f>Overview!$B$4+7*(H13-1)</f>
        <v>46300</v>
      </c>
      <c r="K13" s="24">
        <f>Overview!$B$4+7*(I13-1)+4</f>
        <v>46311</v>
      </c>
      <c r="L13" s="12" t="s">
        <v>113</v>
      </c>
      <c r="M13" s="25" t="s">
        <v>87</v>
      </c>
      <c r="N13" s="26">
        <v>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spans="1:38" ht="34.5" customHeight="1" x14ac:dyDescent="0.25">
      <c r="A14" s="11" t="s">
        <v>114</v>
      </c>
      <c r="B14" s="11" t="s">
        <v>20</v>
      </c>
      <c r="C14" s="11" t="s">
        <v>83</v>
      </c>
      <c r="D14" s="12" t="s">
        <v>115</v>
      </c>
      <c r="E14" s="12" t="s">
        <v>116</v>
      </c>
      <c r="F14" s="11" t="s">
        <v>110</v>
      </c>
      <c r="G14" s="11" t="s">
        <v>79</v>
      </c>
      <c r="H14" s="23">
        <v>2</v>
      </c>
      <c r="I14" s="23">
        <v>3</v>
      </c>
      <c r="J14" s="24">
        <f>Overview!$B$4+7*(H14-1)</f>
        <v>46307</v>
      </c>
      <c r="K14" s="24">
        <f>Overview!$B$4+7*(I14-1)+4</f>
        <v>46318</v>
      </c>
      <c r="L14" s="12" t="s">
        <v>117</v>
      </c>
      <c r="M14" s="25" t="s">
        <v>87</v>
      </c>
      <c r="N14" s="26">
        <v>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ht="23.25" customHeight="1" x14ac:dyDescent="0.25">
      <c r="A15" s="11" t="s">
        <v>118</v>
      </c>
      <c r="B15" s="11" t="s">
        <v>20</v>
      </c>
      <c r="C15" s="11" t="s">
        <v>83</v>
      </c>
      <c r="D15" s="12" t="s">
        <v>119</v>
      </c>
      <c r="E15" s="12" t="s">
        <v>120</v>
      </c>
      <c r="F15" s="11" t="s">
        <v>79</v>
      </c>
      <c r="G15" s="11" t="s">
        <v>121</v>
      </c>
      <c r="H15" s="23">
        <v>2</v>
      </c>
      <c r="I15" s="23">
        <v>4</v>
      </c>
      <c r="J15" s="24">
        <f>Overview!$B$4+7*(H15-1)</f>
        <v>46307</v>
      </c>
      <c r="K15" s="24">
        <f>Overview!$B$4+7*(I15-1)+4</f>
        <v>46325</v>
      </c>
      <c r="L15" s="12" t="s">
        <v>122</v>
      </c>
      <c r="M15" s="25" t="s">
        <v>87</v>
      </c>
      <c r="N15" s="26">
        <v>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ht="23.25" customHeight="1" x14ac:dyDescent="0.25">
      <c r="A16" s="11" t="s">
        <v>123</v>
      </c>
      <c r="B16" s="11" t="s">
        <v>20</v>
      </c>
      <c r="C16" s="11" t="s">
        <v>83</v>
      </c>
      <c r="D16" s="12" t="s">
        <v>124</v>
      </c>
      <c r="E16" s="12" t="s">
        <v>125</v>
      </c>
      <c r="F16" s="11" t="s">
        <v>79</v>
      </c>
      <c r="G16" s="11" t="s">
        <v>110</v>
      </c>
      <c r="H16" s="23">
        <v>3</v>
      </c>
      <c r="I16" s="23">
        <v>5</v>
      </c>
      <c r="J16" s="24">
        <f>Overview!$B$4+7*(H16-1)</f>
        <v>46314</v>
      </c>
      <c r="K16" s="24">
        <f>Overview!$B$4+7*(I16-1)+4</f>
        <v>46332</v>
      </c>
      <c r="L16" s="12" t="s">
        <v>126</v>
      </c>
      <c r="M16" s="25" t="s">
        <v>87</v>
      </c>
      <c r="N16" s="26">
        <v>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ht="23.25" customHeight="1" x14ac:dyDescent="0.25">
      <c r="A17" s="11" t="s">
        <v>127</v>
      </c>
      <c r="B17" s="11" t="s">
        <v>20</v>
      </c>
      <c r="C17" s="11" t="s">
        <v>83</v>
      </c>
      <c r="D17" s="12" t="s">
        <v>128</v>
      </c>
      <c r="E17" s="12" t="s">
        <v>129</v>
      </c>
      <c r="F17" s="11" t="s">
        <v>79</v>
      </c>
      <c r="G17" s="11" t="s">
        <v>110</v>
      </c>
      <c r="H17" s="23">
        <v>4</v>
      </c>
      <c r="I17" s="23">
        <v>5</v>
      </c>
      <c r="J17" s="24">
        <f>Overview!$B$4+7*(H17-1)</f>
        <v>46321</v>
      </c>
      <c r="K17" s="24">
        <f>Overview!$B$4+7*(I17-1)+4</f>
        <v>46332</v>
      </c>
      <c r="L17" s="12" t="s">
        <v>130</v>
      </c>
      <c r="M17" s="25" t="s">
        <v>87</v>
      </c>
      <c r="N17" s="26">
        <v>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ht="23.25" customHeight="1" x14ac:dyDescent="0.25">
      <c r="A18" s="11" t="s">
        <v>131</v>
      </c>
      <c r="B18" s="11" t="s">
        <v>20</v>
      </c>
      <c r="C18" s="11" t="s">
        <v>83</v>
      </c>
      <c r="D18" s="12" t="s">
        <v>132</v>
      </c>
      <c r="E18" s="12" t="s">
        <v>133</v>
      </c>
      <c r="F18" s="11" t="s">
        <v>79</v>
      </c>
      <c r="G18" s="11" t="s">
        <v>134</v>
      </c>
      <c r="H18" s="23">
        <v>5</v>
      </c>
      <c r="I18" s="23">
        <v>5</v>
      </c>
      <c r="J18" s="24">
        <f>Overview!$B$4+7*(H18-1)</f>
        <v>46328</v>
      </c>
      <c r="K18" s="24">
        <f>Overview!$B$4+7*(I18-1)+4</f>
        <v>46332</v>
      </c>
      <c r="L18" s="12" t="s">
        <v>135</v>
      </c>
      <c r="M18" s="25" t="s">
        <v>87</v>
      </c>
      <c r="N18" s="26">
        <v>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ht="15" customHeight="1" x14ac:dyDescent="0.25">
      <c r="A19" s="27" t="s">
        <v>136</v>
      </c>
      <c r="B19" s="27" t="s">
        <v>20</v>
      </c>
      <c r="C19" s="27" t="s">
        <v>18</v>
      </c>
      <c r="D19" s="28" t="s">
        <v>137</v>
      </c>
      <c r="E19" s="28" t="s">
        <v>138</v>
      </c>
      <c r="F19" s="27" t="s">
        <v>100</v>
      </c>
      <c r="G19" s="27" t="s">
        <v>79</v>
      </c>
      <c r="H19" s="23">
        <v>5</v>
      </c>
      <c r="I19" s="23">
        <v>5</v>
      </c>
      <c r="J19" s="29">
        <f>Overview!$B$4+7*(H19-1)</f>
        <v>46328</v>
      </c>
      <c r="K19" s="29">
        <f>Overview!$B$4+7*(I19-1)+4</f>
        <v>46332</v>
      </c>
      <c r="L19" s="28" t="s">
        <v>139</v>
      </c>
      <c r="M19" s="30" t="s">
        <v>87</v>
      </c>
      <c r="N19" s="31">
        <v>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ht="15" customHeight="1" x14ac:dyDescent="0.25">
      <c r="A20" s="18" t="s">
        <v>23</v>
      </c>
      <c r="B20" s="18" t="s">
        <v>23</v>
      </c>
      <c r="C20" s="18" t="s">
        <v>44</v>
      </c>
      <c r="D20" s="19" t="s">
        <v>140</v>
      </c>
      <c r="E20" s="19" t="s">
        <v>141</v>
      </c>
      <c r="F20" s="18" t="s">
        <v>79</v>
      </c>
      <c r="G20" s="18" t="s">
        <v>95</v>
      </c>
      <c r="H20" s="18">
        <f>_xlfn.MINIFS($H:$H,$B:$B,B20,$C:$C,"&lt;&gt;Phase")</f>
        <v>5</v>
      </c>
      <c r="I20" s="18">
        <f>_xlfn.MAXIFS($I:$I,$B:$B,B20,$C:$C,"&lt;&gt;Phase")</f>
        <v>6</v>
      </c>
      <c r="J20" s="20">
        <f>Overview!$B$4+7*(H20-1)</f>
        <v>46328</v>
      </c>
      <c r="K20" s="20">
        <f>Overview!$B$4+7*(I20-1)+4</f>
        <v>46339</v>
      </c>
      <c r="L20" s="19" t="s">
        <v>142</v>
      </c>
      <c r="M20" s="18" t="str">
        <f>IF(N20&gt;=1,"Done",IF(N20&gt;0,"In progress","Not started"))</f>
        <v>Not started</v>
      </c>
      <c r="N20" s="21">
        <f>IFERROR(AVERAGEIFS($N:$N,$B:$B,B20,$C:$C,"Task"),0)</f>
        <v>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ht="15" customHeight="1" x14ac:dyDescent="0.25">
      <c r="A21" s="11" t="s">
        <v>143</v>
      </c>
      <c r="B21" s="11" t="s">
        <v>23</v>
      </c>
      <c r="C21" s="11" t="s">
        <v>83</v>
      </c>
      <c r="D21" s="12" t="s">
        <v>144</v>
      </c>
      <c r="E21" s="12" t="s">
        <v>145</v>
      </c>
      <c r="F21" s="11" t="s">
        <v>79</v>
      </c>
      <c r="G21" s="11" t="s">
        <v>110</v>
      </c>
      <c r="H21" s="23">
        <v>5</v>
      </c>
      <c r="I21" s="23">
        <v>5</v>
      </c>
      <c r="J21" s="24">
        <f>Overview!$B$4+7*(H21-1)</f>
        <v>46328</v>
      </c>
      <c r="K21" s="24">
        <f>Overview!$B$4+7*(I21-1)+4</f>
        <v>46332</v>
      </c>
      <c r="L21" s="12" t="s">
        <v>146</v>
      </c>
      <c r="M21" s="25" t="s">
        <v>87</v>
      </c>
      <c r="N21" s="26">
        <v>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spans="1:38" ht="23.25" customHeight="1" x14ac:dyDescent="0.25">
      <c r="A22" s="11" t="s">
        <v>147</v>
      </c>
      <c r="B22" s="11" t="s">
        <v>23</v>
      </c>
      <c r="C22" s="11" t="s">
        <v>83</v>
      </c>
      <c r="D22" s="12" t="s">
        <v>148</v>
      </c>
      <c r="E22" s="12" t="s">
        <v>149</v>
      </c>
      <c r="F22" s="11" t="s">
        <v>79</v>
      </c>
      <c r="G22" s="11" t="s">
        <v>150</v>
      </c>
      <c r="H22" s="23">
        <v>5</v>
      </c>
      <c r="I22" s="23">
        <v>6</v>
      </c>
      <c r="J22" s="24">
        <f>Overview!$B$4+7*(H22-1)</f>
        <v>46328</v>
      </c>
      <c r="K22" s="24">
        <f>Overview!$B$4+7*(I22-1)+4</f>
        <v>46339</v>
      </c>
      <c r="L22" s="12" t="s">
        <v>151</v>
      </c>
      <c r="M22" s="25" t="s">
        <v>87</v>
      </c>
      <c r="N22" s="26">
        <v>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1:38" ht="23.25" customHeight="1" x14ac:dyDescent="0.25">
      <c r="A23" s="11" t="s">
        <v>152</v>
      </c>
      <c r="B23" s="11" t="s">
        <v>23</v>
      </c>
      <c r="C23" s="11" t="s">
        <v>83</v>
      </c>
      <c r="D23" s="12" t="s">
        <v>153</v>
      </c>
      <c r="E23" s="12" t="s">
        <v>154</v>
      </c>
      <c r="F23" s="11" t="s">
        <v>79</v>
      </c>
      <c r="G23" s="11" t="s">
        <v>105</v>
      </c>
      <c r="H23" s="23">
        <v>6</v>
      </c>
      <c r="I23" s="23">
        <v>6</v>
      </c>
      <c r="J23" s="24">
        <f>Overview!$B$4+7*(H23-1)</f>
        <v>46335</v>
      </c>
      <c r="K23" s="24">
        <f>Overview!$B$4+7*(I23-1)+4</f>
        <v>46339</v>
      </c>
      <c r="L23" s="12" t="s">
        <v>155</v>
      </c>
      <c r="M23" s="25" t="s">
        <v>87</v>
      </c>
      <c r="N23" s="26">
        <v>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spans="1:38" ht="15" customHeight="1" x14ac:dyDescent="0.25">
      <c r="A24" s="11" t="s">
        <v>156</v>
      </c>
      <c r="B24" s="11" t="s">
        <v>23</v>
      </c>
      <c r="C24" s="11" t="s">
        <v>83</v>
      </c>
      <c r="D24" s="12" t="s">
        <v>157</v>
      </c>
      <c r="E24" s="12" t="s">
        <v>158</v>
      </c>
      <c r="F24" s="11" t="s">
        <v>95</v>
      </c>
      <c r="G24" s="11" t="s">
        <v>79</v>
      </c>
      <c r="H24" s="23">
        <v>5</v>
      </c>
      <c r="I24" s="23">
        <v>6</v>
      </c>
      <c r="J24" s="24">
        <f>Overview!$B$4+7*(H24-1)</f>
        <v>46328</v>
      </c>
      <c r="K24" s="24">
        <f>Overview!$B$4+7*(I24-1)+4</f>
        <v>46339</v>
      </c>
      <c r="L24" s="12" t="s">
        <v>159</v>
      </c>
      <c r="M24" s="25" t="s">
        <v>87</v>
      </c>
      <c r="N24" s="26">
        <v>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spans="1:38" ht="23.25" customHeight="1" x14ac:dyDescent="0.25">
      <c r="A25" s="11" t="s">
        <v>160</v>
      </c>
      <c r="B25" s="11" t="s">
        <v>23</v>
      </c>
      <c r="C25" s="11" t="s">
        <v>83</v>
      </c>
      <c r="D25" s="12" t="s">
        <v>161</v>
      </c>
      <c r="E25" s="12" t="s">
        <v>162</v>
      </c>
      <c r="F25" s="11" t="s">
        <v>79</v>
      </c>
      <c r="G25" s="11" t="s">
        <v>95</v>
      </c>
      <c r="H25" s="23">
        <v>6</v>
      </c>
      <c r="I25" s="23">
        <v>6</v>
      </c>
      <c r="J25" s="24">
        <f>Overview!$B$4+7*(H25-1)</f>
        <v>46335</v>
      </c>
      <c r="K25" s="24">
        <f>Overview!$B$4+7*(I25-1)+4</f>
        <v>46339</v>
      </c>
      <c r="L25" s="12" t="s">
        <v>163</v>
      </c>
      <c r="M25" s="25" t="s">
        <v>87</v>
      </c>
      <c r="N25" s="26">
        <v>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ht="15" customHeight="1" x14ac:dyDescent="0.25">
      <c r="A26" s="27" t="s">
        <v>164</v>
      </c>
      <c r="B26" s="27" t="s">
        <v>23</v>
      </c>
      <c r="C26" s="27" t="s">
        <v>18</v>
      </c>
      <c r="D26" s="28" t="s">
        <v>165</v>
      </c>
      <c r="E26" s="28" t="s">
        <v>166</v>
      </c>
      <c r="F26" s="27" t="s">
        <v>100</v>
      </c>
      <c r="G26" s="27" t="s">
        <v>79</v>
      </c>
      <c r="H26" s="23">
        <v>6</v>
      </c>
      <c r="I26" s="23">
        <v>6</v>
      </c>
      <c r="J26" s="29">
        <f>Overview!$B$4+7*(H26-1)</f>
        <v>46335</v>
      </c>
      <c r="K26" s="29">
        <f>Overview!$B$4+7*(I26-1)+4</f>
        <v>46339</v>
      </c>
      <c r="L26" s="28" t="s">
        <v>139</v>
      </c>
      <c r="M26" s="30" t="s">
        <v>87</v>
      </c>
      <c r="N26" s="31">
        <v>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ht="15" customHeight="1" x14ac:dyDescent="0.25">
      <c r="A27" s="18" t="s">
        <v>26</v>
      </c>
      <c r="B27" s="18" t="s">
        <v>26</v>
      </c>
      <c r="C27" s="18" t="s">
        <v>44</v>
      </c>
      <c r="D27" s="19" t="s">
        <v>167</v>
      </c>
      <c r="E27" s="19" t="s">
        <v>168</v>
      </c>
      <c r="F27" s="18" t="s">
        <v>95</v>
      </c>
      <c r="G27" s="18" t="s">
        <v>79</v>
      </c>
      <c r="H27" s="18">
        <f>_xlfn.MINIFS($H:$H,$B:$B,B27,$C:$C,"&lt;&gt;Phase")</f>
        <v>7</v>
      </c>
      <c r="I27" s="18">
        <f>_xlfn.MAXIFS($I:$I,$B:$B,B27,$C:$C,"&lt;&gt;Phase")</f>
        <v>13</v>
      </c>
      <c r="J27" s="20">
        <f>Overview!$B$4+7*(H27-1)</f>
        <v>46342</v>
      </c>
      <c r="K27" s="20">
        <f>Overview!$B$4+7*(I27-1)+4</f>
        <v>46388</v>
      </c>
      <c r="L27" s="19" t="s">
        <v>169</v>
      </c>
      <c r="M27" s="18" t="str">
        <f>IF(N27&gt;=1,"Done",IF(N27&gt;0,"In progress","Not started"))</f>
        <v>Not started</v>
      </c>
      <c r="N27" s="21">
        <f>IFERROR(AVERAGEIFS($N:$N,$B:$B,B27,$C:$C,"Task"),0)</f>
        <v>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spans="1:38" ht="15" customHeight="1" x14ac:dyDescent="0.25">
      <c r="A28" s="11" t="s">
        <v>170</v>
      </c>
      <c r="B28" s="11" t="s">
        <v>26</v>
      </c>
      <c r="C28" s="11" t="s">
        <v>83</v>
      </c>
      <c r="D28" s="12" t="s">
        <v>171</v>
      </c>
      <c r="E28" s="12" t="s">
        <v>172</v>
      </c>
      <c r="F28" s="11" t="s">
        <v>95</v>
      </c>
      <c r="G28" s="11" t="s">
        <v>173</v>
      </c>
      <c r="H28" s="23">
        <v>7</v>
      </c>
      <c r="I28" s="23">
        <v>7</v>
      </c>
      <c r="J28" s="24">
        <f>Overview!$B$4+7*(H28-1)</f>
        <v>46342</v>
      </c>
      <c r="K28" s="24">
        <f>Overview!$B$4+7*(I28-1)+4</f>
        <v>46346</v>
      </c>
      <c r="L28" s="12" t="s">
        <v>174</v>
      </c>
      <c r="M28" s="25" t="s">
        <v>87</v>
      </c>
      <c r="N28" s="26">
        <v>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ht="15" customHeight="1" x14ac:dyDescent="0.25">
      <c r="A29" s="11" t="s">
        <v>175</v>
      </c>
      <c r="B29" s="11" t="s">
        <v>26</v>
      </c>
      <c r="C29" s="11" t="s">
        <v>83</v>
      </c>
      <c r="D29" s="12" t="s">
        <v>176</v>
      </c>
      <c r="E29" s="12" t="s">
        <v>177</v>
      </c>
      <c r="F29" s="11" t="s">
        <v>95</v>
      </c>
      <c r="G29" s="11" t="s">
        <v>79</v>
      </c>
      <c r="H29" s="23">
        <v>7</v>
      </c>
      <c r="I29" s="23">
        <v>9</v>
      </c>
      <c r="J29" s="24">
        <f>Overview!$B$4+7*(H29-1)</f>
        <v>46342</v>
      </c>
      <c r="K29" s="24">
        <f>Overview!$B$4+7*(I29-1)+4</f>
        <v>46360</v>
      </c>
      <c r="L29" s="12" t="s">
        <v>178</v>
      </c>
      <c r="M29" s="25" t="s">
        <v>87</v>
      </c>
      <c r="N29" s="26">
        <v>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ht="15" customHeight="1" x14ac:dyDescent="0.25">
      <c r="A30" s="11" t="s">
        <v>179</v>
      </c>
      <c r="B30" s="11" t="s">
        <v>26</v>
      </c>
      <c r="C30" s="11" t="s">
        <v>83</v>
      </c>
      <c r="D30" s="12" t="s">
        <v>180</v>
      </c>
      <c r="E30" s="12" t="s">
        <v>181</v>
      </c>
      <c r="F30" s="11" t="s">
        <v>95</v>
      </c>
      <c r="G30" s="11" t="s">
        <v>79</v>
      </c>
      <c r="H30" s="23">
        <v>8</v>
      </c>
      <c r="I30" s="23">
        <v>10</v>
      </c>
      <c r="J30" s="24">
        <f>Overview!$B$4+7*(H30-1)</f>
        <v>46349</v>
      </c>
      <c r="K30" s="24">
        <f>Overview!$B$4+7*(I30-1)+4</f>
        <v>46367</v>
      </c>
      <c r="L30" s="12" t="s">
        <v>182</v>
      </c>
      <c r="M30" s="25" t="s">
        <v>87</v>
      </c>
      <c r="N30" s="26">
        <v>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ht="15" customHeight="1" x14ac:dyDescent="0.25">
      <c r="A31" s="11" t="s">
        <v>183</v>
      </c>
      <c r="B31" s="11" t="s">
        <v>26</v>
      </c>
      <c r="C31" s="11" t="s">
        <v>83</v>
      </c>
      <c r="D31" s="12" t="s">
        <v>184</v>
      </c>
      <c r="E31" s="12" t="s">
        <v>185</v>
      </c>
      <c r="F31" s="11" t="s">
        <v>95</v>
      </c>
      <c r="G31" s="11" t="s">
        <v>79</v>
      </c>
      <c r="H31" s="23">
        <v>9</v>
      </c>
      <c r="I31" s="23">
        <v>11</v>
      </c>
      <c r="J31" s="24">
        <f>Overview!$B$4+7*(H31-1)</f>
        <v>46356</v>
      </c>
      <c r="K31" s="24">
        <f>Overview!$B$4+7*(I31-1)+4</f>
        <v>46374</v>
      </c>
      <c r="L31" s="12" t="s">
        <v>186</v>
      </c>
      <c r="M31" s="25" t="s">
        <v>87</v>
      </c>
      <c r="N31" s="26">
        <v>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ht="15" customHeight="1" x14ac:dyDescent="0.25">
      <c r="A32" s="11" t="s">
        <v>187</v>
      </c>
      <c r="B32" s="11" t="s">
        <v>26</v>
      </c>
      <c r="C32" s="11" t="s">
        <v>83</v>
      </c>
      <c r="D32" s="12" t="s">
        <v>188</v>
      </c>
      <c r="E32" s="12" t="s">
        <v>189</v>
      </c>
      <c r="F32" s="11" t="s">
        <v>95</v>
      </c>
      <c r="G32" s="11" t="s">
        <v>79</v>
      </c>
      <c r="H32" s="23">
        <v>10</v>
      </c>
      <c r="I32" s="23">
        <v>12</v>
      </c>
      <c r="J32" s="24">
        <f>Overview!$B$4+7*(H32-1)</f>
        <v>46363</v>
      </c>
      <c r="K32" s="24">
        <f>Overview!$B$4+7*(I32-1)+4</f>
        <v>46381</v>
      </c>
      <c r="L32" s="12" t="s">
        <v>190</v>
      </c>
      <c r="M32" s="25" t="s">
        <v>87</v>
      </c>
      <c r="N32" s="26">
        <v>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ht="15" customHeight="1" x14ac:dyDescent="0.25">
      <c r="A33" s="11" t="s">
        <v>191</v>
      </c>
      <c r="B33" s="11" t="s">
        <v>26</v>
      </c>
      <c r="C33" s="11" t="s">
        <v>83</v>
      </c>
      <c r="D33" s="12" t="s">
        <v>192</v>
      </c>
      <c r="E33" s="12" t="s">
        <v>193</v>
      </c>
      <c r="F33" s="11" t="s">
        <v>95</v>
      </c>
      <c r="G33" s="11" t="s">
        <v>79</v>
      </c>
      <c r="H33" s="23">
        <v>11</v>
      </c>
      <c r="I33" s="23">
        <v>13</v>
      </c>
      <c r="J33" s="24">
        <f>Overview!$B$4+7*(H33-1)</f>
        <v>46370</v>
      </c>
      <c r="K33" s="24">
        <f>Overview!$B$4+7*(I33-1)+4</f>
        <v>46388</v>
      </c>
      <c r="L33" s="12" t="s">
        <v>194</v>
      </c>
      <c r="M33" s="25" t="s">
        <v>87</v>
      </c>
      <c r="N33" s="26">
        <v>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ht="23.25" customHeight="1" x14ac:dyDescent="0.25">
      <c r="A34" s="11" t="s">
        <v>195</v>
      </c>
      <c r="B34" s="11" t="s">
        <v>26</v>
      </c>
      <c r="C34" s="11" t="s">
        <v>83</v>
      </c>
      <c r="D34" s="12" t="s">
        <v>196</v>
      </c>
      <c r="E34" s="12" t="s">
        <v>197</v>
      </c>
      <c r="F34" s="11" t="s">
        <v>79</v>
      </c>
      <c r="G34" s="11" t="s">
        <v>198</v>
      </c>
      <c r="H34" s="23">
        <v>7</v>
      </c>
      <c r="I34" s="23">
        <v>12</v>
      </c>
      <c r="J34" s="24">
        <f>Overview!$B$4+7*(H34-1)</f>
        <v>46342</v>
      </c>
      <c r="K34" s="24">
        <f>Overview!$B$4+7*(I34-1)+4</f>
        <v>46381</v>
      </c>
      <c r="L34" s="12" t="s">
        <v>199</v>
      </c>
      <c r="M34" s="25" t="s">
        <v>87</v>
      </c>
      <c r="N34" s="26">
        <v>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ht="15" customHeight="1" x14ac:dyDescent="0.25">
      <c r="A35" s="11" t="s">
        <v>200</v>
      </c>
      <c r="B35" s="11" t="s">
        <v>26</v>
      </c>
      <c r="C35" s="11" t="s">
        <v>83</v>
      </c>
      <c r="D35" s="12" t="s">
        <v>201</v>
      </c>
      <c r="E35" s="12" t="s">
        <v>202</v>
      </c>
      <c r="F35" s="11" t="s">
        <v>79</v>
      </c>
      <c r="G35" s="11" t="s">
        <v>110</v>
      </c>
      <c r="H35" s="23">
        <v>7</v>
      </c>
      <c r="I35" s="23">
        <v>10</v>
      </c>
      <c r="J35" s="24">
        <f>Overview!$B$4+7*(H35-1)</f>
        <v>46342</v>
      </c>
      <c r="K35" s="24">
        <f>Overview!$B$4+7*(I35-1)+4</f>
        <v>46367</v>
      </c>
      <c r="L35" s="12" t="s">
        <v>203</v>
      </c>
      <c r="M35" s="25" t="s">
        <v>87</v>
      </c>
      <c r="N35" s="26">
        <v>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ht="15" customHeight="1" x14ac:dyDescent="0.25">
      <c r="A36" s="11" t="s">
        <v>204</v>
      </c>
      <c r="B36" s="11" t="s">
        <v>26</v>
      </c>
      <c r="C36" s="11" t="s">
        <v>83</v>
      </c>
      <c r="D36" s="12" t="s">
        <v>205</v>
      </c>
      <c r="E36" s="12" t="s">
        <v>206</v>
      </c>
      <c r="F36" s="11" t="s">
        <v>95</v>
      </c>
      <c r="G36" s="11" t="s">
        <v>207</v>
      </c>
      <c r="H36" s="23">
        <v>7</v>
      </c>
      <c r="I36" s="23">
        <v>13</v>
      </c>
      <c r="J36" s="24">
        <f>Overview!$B$4+7*(H36-1)</f>
        <v>46342</v>
      </c>
      <c r="K36" s="24">
        <f>Overview!$B$4+7*(I36-1)+4</f>
        <v>46388</v>
      </c>
      <c r="L36" s="12" t="s">
        <v>208</v>
      </c>
      <c r="M36" s="25" t="s">
        <v>87</v>
      </c>
      <c r="N36" s="26">
        <v>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15" customHeight="1" x14ac:dyDescent="0.25">
      <c r="A37" s="11" t="s">
        <v>209</v>
      </c>
      <c r="B37" s="11" t="s">
        <v>26</v>
      </c>
      <c r="C37" s="11" t="s">
        <v>83</v>
      </c>
      <c r="D37" s="12" t="s">
        <v>210</v>
      </c>
      <c r="E37" s="12" t="s">
        <v>211</v>
      </c>
      <c r="F37" s="11" t="s">
        <v>79</v>
      </c>
      <c r="G37" s="11" t="s">
        <v>95</v>
      </c>
      <c r="H37" s="23">
        <v>7</v>
      </c>
      <c r="I37" s="23">
        <v>13</v>
      </c>
      <c r="J37" s="24">
        <f>Overview!$B$4+7*(H37-1)</f>
        <v>46342</v>
      </c>
      <c r="K37" s="24">
        <f>Overview!$B$4+7*(I37-1)+4</f>
        <v>46388</v>
      </c>
      <c r="L37" s="12" t="s">
        <v>212</v>
      </c>
      <c r="M37" s="25" t="s">
        <v>87</v>
      </c>
      <c r="N37" s="26">
        <v>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ht="15" customHeight="1" x14ac:dyDescent="0.25">
      <c r="A38" s="11" t="s">
        <v>213</v>
      </c>
      <c r="B38" s="11" t="s">
        <v>26</v>
      </c>
      <c r="C38" s="11" t="s">
        <v>83</v>
      </c>
      <c r="D38" s="12" t="s">
        <v>214</v>
      </c>
      <c r="E38" s="12" t="s">
        <v>215</v>
      </c>
      <c r="F38" s="11" t="s">
        <v>150</v>
      </c>
      <c r="G38" s="11" t="s">
        <v>216</v>
      </c>
      <c r="H38" s="23">
        <v>11</v>
      </c>
      <c r="I38" s="23">
        <v>13</v>
      </c>
      <c r="J38" s="24">
        <f>Overview!$B$4+7*(H38-1)</f>
        <v>46370</v>
      </c>
      <c r="K38" s="24">
        <f>Overview!$B$4+7*(I38-1)+4</f>
        <v>46388</v>
      </c>
      <c r="L38" s="12" t="s">
        <v>217</v>
      </c>
      <c r="M38" s="25" t="s">
        <v>87</v>
      </c>
      <c r="N38" s="26">
        <v>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ht="23.25" customHeight="1" x14ac:dyDescent="0.25">
      <c r="A39" s="27" t="s">
        <v>218</v>
      </c>
      <c r="B39" s="27" t="s">
        <v>26</v>
      </c>
      <c r="C39" s="27" t="s">
        <v>18</v>
      </c>
      <c r="D39" s="28" t="s">
        <v>219</v>
      </c>
      <c r="E39" s="28" t="s">
        <v>220</v>
      </c>
      <c r="F39" s="27" t="s">
        <v>100</v>
      </c>
      <c r="G39" s="27" t="s">
        <v>221</v>
      </c>
      <c r="H39" s="23">
        <v>13</v>
      </c>
      <c r="I39" s="23">
        <v>13</v>
      </c>
      <c r="J39" s="29">
        <f>Overview!$B$4+7*(H39-1)</f>
        <v>46384</v>
      </c>
      <c r="K39" s="29">
        <f>Overview!$B$4+7*(I39-1)+4</f>
        <v>46388</v>
      </c>
      <c r="L39" s="28" t="s">
        <v>139</v>
      </c>
      <c r="M39" s="30" t="s">
        <v>87</v>
      </c>
      <c r="N39" s="31">
        <v>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ht="15" customHeight="1" x14ac:dyDescent="0.25">
      <c r="A40" s="18" t="s">
        <v>29</v>
      </c>
      <c r="B40" s="18" t="s">
        <v>29</v>
      </c>
      <c r="C40" s="18" t="s">
        <v>44</v>
      </c>
      <c r="D40" s="19" t="s">
        <v>222</v>
      </c>
      <c r="E40" s="19" t="s">
        <v>223</v>
      </c>
      <c r="F40" s="18" t="s">
        <v>79</v>
      </c>
      <c r="G40" s="18" t="s">
        <v>80</v>
      </c>
      <c r="H40" s="18">
        <f>_xlfn.MINIFS($H:$H,$B:$B,B40,$C:$C,"&lt;&gt;Phase")</f>
        <v>13</v>
      </c>
      <c r="I40" s="18">
        <f>_xlfn.MAXIFS($I:$I,$B:$B,B40,$C:$C,"&lt;&gt;Phase")</f>
        <v>14</v>
      </c>
      <c r="J40" s="20">
        <f>Overview!$B$4+7*(H40-1)</f>
        <v>46384</v>
      </c>
      <c r="K40" s="20">
        <f>Overview!$B$4+7*(I40-1)+4</f>
        <v>46395</v>
      </c>
      <c r="L40" s="19" t="s">
        <v>224</v>
      </c>
      <c r="M40" s="18" t="str">
        <f>IF(N40&gt;=1,"Done",IF(N40&gt;0,"In progress","Not started"))</f>
        <v>Not started</v>
      </c>
      <c r="N40" s="21">
        <f>IFERROR(AVERAGEIFS($N:$N,$B:$B,B40,$C:$C,"Task"),0)</f>
        <v>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ht="23.25" customHeight="1" x14ac:dyDescent="0.25">
      <c r="A41" s="11" t="s">
        <v>225</v>
      </c>
      <c r="B41" s="11" t="s">
        <v>29</v>
      </c>
      <c r="C41" s="11" t="s">
        <v>83</v>
      </c>
      <c r="D41" s="12" t="s">
        <v>226</v>
      </c>
      <c r="E41" s="12" t="s">
        <v>227</v>
      </c>
      <c r="F41" s="11" t="s">
        <v>79</v>
      </c>
      <c r="G41" s="11" t="s">
        <v>95</v>
      </c>
      <c r="H41" s="23">
        <v>13</v>
      </c>
      <c r="I41" s="23">
        <v>14</v>
      </c>
      <c r="J41" s="24">
        <f>Overview!$B$4+7*(H41-1)</f>
        <v>46384</v>
      </c>
      <c r="K41" s="24">
        <f>Overview!$B$4+7*(I41-1)+4</f>
        <v>46395</v>
      </c>
      <c r="L41" s="12" t="s">
        <v>228</v>
      </c>
      <c r="M41" s="25" t="s">
        <v>87</v>
      </c>
      <c r="N41" s="26">
        <v>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ht="15" customHeight="1" x14ac:dyDescent="0.25">
      <c r="A42" s="11" t="s">
        <v>229</v>
      </c>
      <c r="B42" s="11" t="s">
        <v>29</v>
      </c>
      <c r="C42" s="11" t="s">
        <v>83</v>
      </c>
      <c r="D42" s="12" t="s">
        <v>230</v>
      </c>
      <c r="E42" s="12" t="s">
        <v>231</v>
      </c>
      <c r="F42" s="11" t="s">
        <v>110</v>
      </c>
      <c r="G42" s="11" t="s">
        <v>79</v>
      </c>
      <c r="H42" s="23">
        <v>13</v>
      </c>
      <c r="I42" s="23">
        <v>14</v>
      </c>
      <c r="J42" s="24">
        <f>Overview!$B$4+7*(H42-1)</f>
        <v>46384</v>
      </c>
      <c r="K42" s="24">
        <f>Overview!$B$4+7*(I42-1)+4</f>
        <v>46395</v>
      </c>
      <c r="L42" s="12" t="s">
        <v>232</v>
      </c>
      <c r="M42" s="25" t="s">
        <v>87</v>
      </c>
      <c r="N42" s="26">
        <v>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ht="23.25" customHeight="1" x14ac:dyDescent="0.25">
      <c r="A43" s="11" t="s">
        <v>233</v>
      </c>
      <c r="B43" s="11" t="s">
        <v>29</v>
      </c>
      <c r="C43" s="11" t="s">
        <v>83</v>
      </c>
      <c r="D43" s="12" t="s">
        <v>234</v>
      </c>
      <c r="E43" s="12" t="s">
        <v>235</v>
      </c>
      <c r="F43" s="11" t="s">
        <v>79</v>
      </c>
      <c r="G43" s="11" t="s">
        <v>236</v>
      </c>
      <c r="H43" s="23">
        <v>13</v>
      </c>
      <c r="I43" s="23">
        <v>14</v>
      </c>
      <c r="J43" s="24">
        <f>Overview!$B$4+7*(H43-1)</f>
        <v>46384</v>
      </c>
      <c r="K43" s="24">
        <f>Overview!$B$4+7*(I43-1)+4</f>
        <v>46395</v>
      </c>
      <c r="L43" s="12" t="s">
        <v>237</v>
      </c>
      <c r="M43" s="25" t="s">
        <v>87</v>
      </c>
      <c r="N43" s="26">
        <v>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ht="23.25" customHeight="1" x14ac:dyDescent="0.25">
      <c r="A44" s="11" t="s">
        <v>238</v>
      </c>
      <c r="B44" s="11" t="s">
        <v>29</v>
      </c>
      <c r="C44" s="11" t="s">
        <v>83</v>
      </c>
      <c r="D44" s="12" t="s">
        <v>239</v>
      </c>
      <c r="E44" s="12" t="s">
        <v>240</v>
      </c>
      <c r="F44" s="11" t="s">
        <v>79</v>
      </c>
      <c r="G44" s="11" t="s">
        <v>121</v>
      </c>
      <c r="H44" s="23">
        <v>14</v>
      </c>
      <c r="I44" s="23">
        <v>14</v>
      </c>
      <c r="J44" s="24">
        <f>Overview!$B$4+7*(H44-1)</f>
        <v>46391</v>
      </c>
      <c r="K44" s="24">
        <f>Overview!$B$4+7*(I44-1)+4</f>
        <v>46395</v>
      </c>
      <c r="L44" s="12" t="s">
        <v>241</v>
      </c>
      <c r="M44" s="25" t="s">
        <v>87</v>
      </c>
      <c r="N44" s="26">
        <v>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ht="15" customHeight="1" x14ac:dyDescent="0.25">
      <c r="A45" s="11" t="s">
        <v>242</v>
      </c>
      <c r="B45" s="11" t="s">
        <v>29</v>
      </c>
      <c r="C45" s="11" t="s">
        <v>83</v>
      </c>
      <c r="D45" s="12" t="s">
        <v>243</v>
      </c>
      <c r="E45" s="12" t="s">
        <v>244</v>
      </c>
      <c r="F45" s="11" t="s">
        <v>110</v>
      </c>
      <c r="G45" s="11" t="s">
        <v>221</v>
      </c>
      <c r="H45" s="23">
        <v>14</v>
      </c>
      <c r="I45" s="23">
        <v>14</v>
      </c>
      <c r="J45" s="24">
        <f>Overview!$B$4+7*(H45-1)</f>
        <v>46391</v>
      </c>
      <c r="K45" s="24">
        <f>Overview!$B$4+7*(I45-1)+4</f>
        <v>46395</v>
      </c>
      <c r="L45" s="12" t="s">
        <v>245</v>
      </c>
      <c r="M45" s="25" t="s">
        <v>87</v>
      </c>
      <c r="N45" s="26">
        <v>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ht="15" customHeight="1" x14ac:dyDescent="0.25">
      <c r="A46" s="27" t="s">
        <v>246</v>
      </c>
      <c r="B46" s="27" t="s">
        <v>29</v>
      </c>
      <c r="C46" s="27" t="s">
        <v>18</v>
      </c>
      <c r="D46" s="28" t="s">
        <v>247</v>
      </c>
      <c r="E46" s="28" t="s">
        <v>248</v>
      </c>
      <c r="F46" s="27" t="s">
        <v>100</v>
      </c>
      <c r="G46" s="27" t="s">
        <v>79</v>
      </c>
      <c r="H46" s="23">
        <v>14</v>
      </c>
      <c r="I46" s="23">
        <v>14</v>
      </c>
      <c r="J46" s="29">
        <f>Overview!$B$4+7*(H46-1)</f>
        <v>46391</v>
      </c>
      <c r="K46" s="29">
        <f>Overview!$B$4+7*(I46-1)+4</f>
        <v>46395</v>
      </c>
      <c r="L46" s="28" t="s">
        <v>139</v>
      </c>
      <c r="M46" s="30" t="s">
        <v>87</v>
      </c>
      <c r="N46" s="31">
        <v>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ht="15" customHeight="1" x14ac:dyDescent="0.25">
      <c r="A47" s="18" t="s">
        <v>32</v>
      </c>
      <c r="B47" s="18" t="s">
        <v>32</v>
      </c>
      <c r="C47" s="18" t="s">
        <v>44</v>
      </c>
      <c r="D47" s="19" t="s">
        <v>249</v>
      </c>
      <c r="E47" s="19" t="s">
        <v>250</v>
      </c>
      <c r="F47" s="18" t="s">
        <v>79</v>
      </c>
      <c r="G47" s="18" t="s">
        <v>121</v>
      </c>
      <c r="H47" s="18">
        <f>_xlfn.MINIFS($H:$H,$B:$B,B47,$C:$C,"&lt;&gt;Phase")</f>
        <v>15</v>
      </c>
      <c r="I47" s="18">
        <f>_xlfn.MAXIFS($I:$I,$B:$B,B47,$C:$C,"&lt;&gt;Phase")</f>
        <v>24</v>
      </c>
      <c r="J47" s="20">
        <f>Overview!$B$4+7*(H47-1)</f>
        <v>46398</v>
      </c>
      <c r="K47" s="20">
        <f>Overview!$B$4+7*(I47-1)+4</f>
        <v>46465</v>
      </c>
      <c r="L47" s="19" t="s">
        <v>251</v>
      </c>
      <c r="M47" s="18" t="str">
        <f>IF(N47&gt;=1,"Done",IF(N47&gt;0,"In progress","Not started"))</f>
        <v>Not started</v>
      </c>
      <c r="N47" s="21">
        <f>IFERROR(AVERAGEIFS($N:$N,$B:$B,B47,$C:$C,"Task"),0)</f>
        <v>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ht="15" customHeight="1" x14ac:dyDescent="0.25">
      <c r="A48" s="11" t="s">
        <v>252</v>
      </c>
      <c r="B48" s="11" t="s">
        <v>32</v>
      </c>
      <c r="C48" s="11" t="s">
        <v>83</v>
      </c>
      <c r="D48" s="12" t="s">
        <v>253</v>
      </c>
      <c r="E48" s="12" t="s">
        <v>254</v>
      </c>
      <c r="F48" s="11" t="s">
        <v>79</v>
      </c>
      <c r="G48" s="11" t="s">
        <v>121</v>
      </c>
      <c r="H48" s="23">
        <v>15</v>
      </c>
      <c r="I48" s="23">
        <v>24</v>
      </c>
      <c r="J48" s="24">
        <f>Overview!$B$4+7*(H48-1)</f>
        <v>46398</v>
      </c>
      <c r="K48" s="24">
        <f>Overview!$B$4+7*(I48-1)+4</f>
        <v>46465</v>
      </c>
      <c r="L48" s="12" t="s">
        <v>255</v>
      </c>
      <c r="M48" s="25" t="s">
        <v>87</v>
      </c>
      <c r="N48" s="26">
        <v>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ht="15" customHeight="1" x14ac:dyDescent="0.25">
      <c r="A49" s="11" t="s">
        <v>256</v>
      </c>
      <c r="B49" s="11" t="s">
        <v>32</v>
      </c>
      <c r="C49" s="11" t="s">
        <v>83</v>
      </c>
      <c r="D49" s="12" t="s">
        <v>257</v>
      </c>
      <c r="E49" s="12" t="s">
        <v>258</v>
      </c>
      <c r="F49" s="11" t="s">
        <v>79</v>
      </c>
      <c r="G49" s="11" t="s">
        <v>121</v>
      </c>
      <c r="H49" s="23">
        <v>15</v>
      </c>
      <c r="I49" s="23">
        <v>24</v>
      </c>
      <c r="J49" s="24">
        <f>Overview!$B$4+7*(H49-1)</f>
        <v>46398</v>
      </c>
      <c r="K49" s="24">
        <f>Overview!$B$4+7*(I49-1)+4</f>
        <v>46465</v>
      </c>
      <c r="L49" s="12" t="s">
        <v>259</v>
      </c>
      <c r="M49" s="25" t="s">
        <v>87</v>
      </c>
      <c r="N49" s="26">
        <v>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 ht="15" customHeight="1" x14ac:dyDescent="0.25">
      <c r="A50" s="11" t="s">
        <v>260</v>
      </c>
      <c r="B50" s="11" t="s">
        <v>32</v>
      </c>
      <c r="C50" s="11" t="s">
        <v>83</v>
      </c>
      <c r="D50" s="12" t="s">
        <v>261</v>
      </c>
      <c r="E50" s="12" t="s">
        <v>262</v>
      </c>
      <c r="F50" s="11" t="s">
        <v>110</v>
      </c>
      <c r="G50" s="11" t="s">
        <v>79</v>
      </c>
      <c r="H50" s="23">
        <v>16</v>
      </c>
      <c r="I50" s="23">
        <v>16</v>
      </c>
      <c r="J50" s="24">
        <f>Overview!$B$4+7*(H50-1)</f>
        <v>46405</v>
      </c>
      <c r="K50" s="24">
        <f>Overview!$B$4+7*(I50-1)+4</f>
        <v>46409</v>
      </c>
      <c r="L50" s="12" t="s">
        <v>263</v>
      </c>
      <c r="M50" s="25" t="s">
        <v>87</v>
      </c>
      <c r="N50" s="26">
        <v>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 ht="15" customHeight="1" x14ac:dyDescent="0.25">
      <c r="A51" s="11" t="s">
        <v>264</v>
      </c>
      <c r="B51" s="11" t="s">
        <v>32</v>
      </c>
      <c r="C51" s="11" t="s">
        <v>83</v>
      </c>
      <c r="D51" s="12" t="s">
        <v>265</v>
      </c>
      <c r="E51" s="12" t="s">
        <v>266</v>
      </c>
      <c r="F51" s="11" t="s">
        <v>110</v>
      </c>
      <c r="G51" s="11" t="s">
        <v>79</v>
      </c>
      <c r="H51" s="23">
        <v>22</v>
      </c>
      <c r="I51" s="23">
        <v>22</v>
      </c>
      <c r="J51" s="24">
        <f>Overview!$B$4+7*(H51-1)</f>
        <v>46447</v>
      </c>
      <c r="K51" s="24">
        <f>Overview!$B$4+7*(I51-1)+4</f>
        <v>46451</v>
      </c>
      <c r="L51" s="12" t="s">
        <v>267</v>
      </c>
      <c r="M51" s="25" t="s">
        <v>87</v>
      </c>
      <c r="N51" s="26">
        <v>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 ht="23.25" customHeight="1" x14ac:dyDescent="0.25">
      <c r="A52" s="11" t="s">
        <v>268</v>
      </c>
      <c r="B52" s="11" t="s">
        <v>32</v>
      </c>
      <c r="C52" s="11" t="s">
        <v>83</v>
      </c>
      <c r="D52" s="12" t="s">
        <v>269</v>
      </c>
      <c r="E52" s="12" t="s">
        <v>270</v>
      </c>
      <c r="F52" s="11" t="s">
        <v>95</v>
      </c>
      <c r="G52" s="11" t="s">
        <v>79</v>
      </c>
      <c r="H52" s="23">
        <v>17</v>
      </c>
      <c r="I52" s="23">
        <v>23</v>
      </c>
      <c r="J52" s="24">
        <f>Overview!$B$4+7*(H52-1)</f>
        <v>46412</v>
      </c>
      <c r="K52" s="24">
        <f>Overview!$B$4+7*(I52-1)+4</f>
        <v>46458</v>
      </c>
      <c r="L52" s="12" t="s">
        <v>271</v>
      </c>
      <c r="M52" s="25" t="s">
        <v>87</v>
      </c>
      <c r="N52" s="26">
        <v>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ht="15" customHeight="1" x14ac:dyDescent="0.25">
      <c r="A53" s="27" t="s">
        <v>272</v>
      </c>
      <c r="B53" s="27" t="s">
        <v>32</v>
      </c>
      <c r="C53" s="27" t="s">
        <v>18</v>
      </c>
      <c r="D53" s="28" t="s">
        <v>273</v>
      </c>
      <c r="E53" s="28" t="s">
        <v>274</v>
      </c>
      <c r="F53" s="27" t="s">
        <v>100</v>
      </c>
      <c r="G53" s="27" t="s">
        <v>79</v>
      </c>
      <c r="H53" s="23">
        <v>24</v>
      </c>
      <c r="I53" s="23">
        <v>24</v>
      </c>
      <c r="J53" s="29">
        <f>Overview!$B$4+7*(H53-1)</f>
        <v>46461</v>
      </c>
      <c r="K53" s="29">
        <f>Overview!$B$4+7*(I53-1)+4</f>
        <v>46465</v>
      </c>
      <c r="L53" s="28" t="s">
        <v>275</v>
      </c>
      <c r="M53" s="30" t="s">
        <v>87</v>
      </c>
      <c r="N53" s="31">
        <v>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 ht="15" customHeight="1" x14ac:dyDescent="0.25">
      <c r="A54" s="18" t="s">
        <v>276</v>
      </c>
      <c r="B54" s="18" t="s">
        <v>276</v>
      </c>
      <c r="C54" s="18" t="s">
        <v>44</v>
      </c>
      <c r="D54" s="19" t="s">
        <v>277</v>
      </c>
      <c r="E54" s="19" t="s">
        <v>278</v>
      </c>
      <c r="F54" s="18" t="s">
        <v>79</v>
      </c>
      <c r="G54" s="18" t="s">
        <v>80</v>
      </c>
      <c r="H54" s="18">
        <f>_xlfn.MINIFS($H:$H,$B:$B,B54,$C:$C,"&lt;&gt;Phase")</f>
        <v>1</v>
      </c>
      <c r="I54" s="18">
        <f>_xlfn.MAXIFS($I:$I,$B:$B,B54,$C:$C,"&lt;&gt;Phase")</f>
        <v>24</v>
      </c>
      <c r="J54" s="20">
        <f>Overview!$B$4+7*(H54-1)</f>
        <v>46300</v>
      </c>
      <c r="K54" s="20">
        <f>Overview!$B$4+7*(I54-1)+4</f>
        <v>46465</v>
      </c>
      <c r="L54" s="19"/>
      <c r="M54" s="18" t="str">
        <f>IF(N54&gt;=1,"Done",IF(N54&gt;0,"In progress","Not started"))</f>
        <v>Not started</v>
      </c>
      <c r="N54" s="21">
        <f>IFERROR(AVERAGEIFS($N:$N,$B:$B,B54,$C:$C,"Task"),0)</f>
        <v>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 ht="23.25" customHeight="1" x14ac:dyDescent="0.25">
      <c r="A55" s="11" t="s">
        <v>279</v>
      </c>
      <c r="B55" s="11" t="s">
        <v>276</v>
      </c>
      <c r="C55" s="11" t="s">
        <v>83</v>
      </c>
      <c r="D55" s="12" t="s">
        <v>280</v>
      </c>
      <c r="E55" s="12" t="s">
        <v>281</v>
      </c>
      <c r="F55" s="11" t="s">
        <v>79</v>
      </c>
      <c r="G55" s="11" t="s">
        <v>80</v>
      </c>
      <c r="H55" s="23">
        <v>1</v>
      </c>
      <c r="I55" s="23">
        <v>24</v>
      </c>
      <c r="J55" s="24">
        <f>Overview!$B$4+7*(H55-1)</f>
        <v>46300</v>
      </c>
      <c r="K55" s="24">
        <f>Overview!$B$4+7*(I55-1)+4</f>
        <v>46465</v>
      </c>
      <c r="L55" s="12" t="s">
        <v>282</v>
      </c>
      <c r="M55" s="25" t="s">
        <v>87</v>
      </c>
      <c r="N55" s="26">
        <v>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1:38" ht="23.25" customHeight="1" x14ac:dyDescent="0.25">
      <c r="A56" s="11" t="s">
        <v>283</v>
      </c>
      <c r="B56" s="11" t="s">
        <v>276</v>
      </c>
      <c r="C56" s="11" t="s">
        <v>83</v>
      </c>
      <c r="D56" s="12" t="s">
        <v>284</v>
      </c>
      <c r="E56" s="12" t="s">
        <v>285</v>
      </c>
      <c r="F56" s="11" t="s">
        <v>79</v>
      </c>
      <c r="G56" s="11" t="s">
        <v>236</v>
      </c>
      <c r="H56" s="23">
        <v>1</v>
      </c>
      <c r="I56" s="23">
        <v>14</v>
      </c>
      <c r="J56" s="24">
        <f>Overview!$B$4+7*(H56-1)</f>
        <v>46300</v>
      </c>
      <c r="K56" s="24">
        <f>Overview!$B$4+7*(I56-1)+4</f>
        <v>46395</v>
      </c>
      <c r="L56" s="12" t="s">
        <v>286</v>
      </c>
      <c r="M56" s="25" t="s">
        <v>87</v>
      </c>
      <c r="N56" s="26">
        <v>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8" spans="1:38" ht="15" customHeight="1" x14ac:dyDescent="0.25">
      <c r="D58" s="7" t="s">
        <v>287</v>
      </c>
    </row>
  </sheetData>
  <mergeCells count="14">
    <mergeCell ref="K4:K5"/>
    <mergeCell ref="L4:L5"/>
    <mergeCell ref="M4:M5"/>
    <mergeCell ref="N4:N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conditionalFormatting sqref="M6:M56">
    <cfRule type="expression" dxfId="6" priority="6">
      <formula>$M6="Blocked"</formula>
    </cfRule>
  </conditionalFormatting>
  <conditionalFormatting sqref="O6:AL56">
    <cfRule type="expression" dxfId="5" priority="2">
      <formula>AND($C6="Milestone",O$5&gt;=$J6,O$5&lt;=$K6)</formula>
    </cfRule>
    <cfRule type="expression" dxfId="4" priority="3">
      <formula>AND($C6="Phase",O$5&gt;=$J6,O$5&lt;=$K6)</formula>
    </cfRule>
    <cfRule type="expression" dxfId="3" priority="4">
      <formula>AND($M6="Done",O$5&gt;=$J6,O$5&lt;=$K6)</formula>
    </cfRule>
    <cfRule type="expression" dxfId="2" priority="5">
      <formula>AND(O$5&gt;=$J6,O$5&lt;=$K6)</formula>
    </cfRule>
  </conditionalFormatting>
  <dataValidations count="2">
    <dataValidation type="list" allowBlank="1" sqref="M6:M56" xr:uid="{00000000-0002-0000-0100-000000000000}">
      <formula1>"Not started,In progress,Done,Blocked"</formula1>
      <formula2>0</formula2>
    </dataValidation>
    <dataValidation type="decimal" sqref="N6:N56" xr:uid="{00000000-0002-0000-0100-000001000000}">
      <formula1>0</formula1>
      <formula2>1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showGridLines="0" zoomScaleNormal="100" workbookViewId="0">
      <pane xSplit="1" ySplit="4" topLeftCell="B21" activePane="bottomRight" state="frozen"/>
      <selection pane="topRight" activeCell="B1" sqref="B1"/>
      <selection pane="bottomLeft" activeCell="A5" sqref="A5"/>
      <selection pane="bottomRight" activeCell="A11" sqref="A11:XFD11"/>
    </sheetView>
  </sheetViews>
  <sheetFormatPr defaultColWidth="8.7109375" defaultRowHeight="15" x14ac:dyDescent="0.25"/>
  <cols>
    <col min="1" max="1" width="7" customWidth="1"/>
    <col min="2" max="2" width="32" customWidth="1"/>
    <col min="3" max="3" width="30" customWidth="1"/>
    <col min="4" max="4" width="40" customWidth="1"/>
    <col min="5" max="5" width="26" customWidth="1"/>
    <col min="6" max="6" width="24" customWidth="1"/>
    <col min="7" max="7" width="12" customWidth="1"/>
    <col min="8" max="8" width="8" customWidth="1"/>
    <col min="9" max="9" width="16" customWidth="1"/>
    <col min="10" max="10" width="10" customWidth="1"/>
  </cols>
  <sheetData>
    <row r="1" spans="1:10" ht="17.25" customHeight="1" x14ac:dyDescent="0.25">
      <c r="A1" s="15" t="s">
        <v>288</v>
      </c>
    </row>
    <row r="2" spans="1:10" ht="15" customHeight="1" x14ac:dyDescent="0.25">
      <c r="A2" s="7" t="s">
        <v>289</v>
      </c>
    </row>
    <row r="4" spans="1:10" ht="15" customHeight="1" x14ac:dyDescent="0.25">
      <c r="A4" s="10" t="s">
        <v>44</v>
      </c>
      <c r="B4" s="10" t="s">
        <v>290</v>
      </c>
      <c r="C4" s="10" t="s">
        <v>291</v>
      </c>
      <c r="D4" s="10" t="s">
        <v>292</v>
      </c>
      <c r="E4" s="10" t="s">
        <v>293</v>
      </c>
      <c r="F4" s="10" t="s">
        <v>294</v>
      </c>
      <c r="G4" s="10" t="s">
        <v>48</v>
      </c>
      <c r="H4" s="10" t="s">
        <v>295</v>
      </c>
      <c r="I4" s="10" t="s">
        <v>296</v>
      </c>
      <c r="J4" s="10" t="s">
        <v>297</v>
      </c>
    </row>
    <row r="5" spans="1:10" ht="15" customHeight="1" x14ac:dyDescent="0.25">
      <c r="A5" s="11" t="s">
        <v>20</v>
      </c>
      <c r="B5" s="12" t="s">
        <v>298</v>
      </c>
      <c r="C5" s="12" t="s">
        <v>299</v>
      </c>
      <c r="D5" s="12" t="s">
        <v>300</v>
      </c>
      <c r="E5" s="12" t="s">
        <v>301</v>
      </c>
      <c r="F5" s="12" t="s">
        <v>302</v>
      </c>
      <c r="G5" s="11" t="s">
        <v>303</v>
      </c>
      <c r="H5" s="11">
        <v>3</v>
      </c>
      <c r="I5" s="32"/>
      <c r="J5" s="25"/>
    </row>
    <row r="6" spans="1:10" ht="23.25" customHeight="1" x14ac:dyDescent="0.25">
      <c r="A6" s="11" t="s">
        <v>20</v>
      </c>
      <c r="B6" s="12" t="s">
        <v>304</v>
      </c>
      <c r="C6" s="12" t="s">
        <v>305</v>
      </c>
      <c r="D6" s="12" t="s">
        <v>306</v>
      </c>
      <c r="E6" s="12" t="s">
        <v>307</v>
      </c>
      <c r="F6" s="12" t="s">
        <v>308</v>
      </c>
      <c r="G6" s="11" t="s">
        <v>80</v>
      </c>
      <c r="H6" s="11">
        <v>2</v>
      </c>
      <c r="I6" s="32"/>
      <c r="J6" s="25"/>
    </row>
    <row r="7" spans="1:10" ht="23.25" customHeight="1" x14ac:dyDescent="0.25">
      <c r="A7" s="11" t="s">
        <v>20</v>
      </c>
      <c r="B7" s="12" t="s">
        <v>309</v>
      </c>
      <c r="C7" s="12" t="s">
        <v>310</v>
      </c>
      <c r="D7" s="12" t="s">
        <v>311</v>
      </c>
      <c r="E7" s="12" t="s">
        <v>312</v>
      </c>
      <c r="F7" s="12" t="s">
        <v>313</v>
      </c>
      <c r="G7" s="11" t="s">
        <v>314</v>
      </c>
      <c r="H7" s="11">
        <v>2</v>
      </c>
      <c r="I7" s="32"/>
      <c r="J7" s="25"/>
    </row>
    <row r="8" spans="1:10" ht="15" customHeight="1" x14ac:dyDescent="0.25">
      <c r="A8" s="11" t="s">
        <v>20</v>
      </c>
      <c r="B8" s="12" t="s">
        <v>315</v>
      </c>
      <c r="C8" s="12" t="s">
        <v>316</v>
      </c>
      <c r="D8" s="12" t="s">
        <v>317</v>
      </c>
      <c r="E8" s="12" t="s">
        <v>318</v>
      </c>
      <c r="F8" s="12" t="s">
        <v>319</v>
      </c>
      <c r="G8" s="11" t="s">
        <v>110</v>
      </c>
      <c r="H8" s="11">
        <v>3</v>
      </c>
      <c r="I8" s="32"/>
      <c r="J8" s="25"/>
    </row>
    <row r="9" spans="1:10" ht="15" customHeight="1" x14ac:dyDescent="0.25">
      <c r="A9" s="11" t="s">
        <v>20</v>
      </c>
      <c r="B9" s="12" t="s">
        <v>320</v>
      </c>
      <c r="C9" s="12" t="s">
        <v>321</v>
      </c>
      <c r="D9" s="12" t="s">
        <v>322</v>
      </c>
      <c r="E9" s="12" t="s">
        <v>323</v>
      </c>
      <c r="F9" s="12" t="s">
        <v>324</v>
      </c>
      <c r="G9" s="11" t="s">
        <v>303</v>
      </c>
      <c r="H9" s="11">
        <v>4</v>
      </c>
      <c r="I9" s="32"/>
      <c r="J9" s="25"/>
    </row>
    <row r="10" spans="1:10" ht="23.25" customHeight="1" x14ac:dyDescent="0.25">
      <c r="A10" s="11" t="s">
        <v>20</v>
      </c>
      <c r="B10" s="12" t="s">
        <v>325</v>
      </c>
      <c r="C10" s="12" t="s">
        <v>326</v>
      </c>
      <c r="D10" s="12" t="s">
        <v>327</v>
      </c>
      <c r="E10" s="12" t="s">
        <v>328</v>
      </c>
      <c r="F10" s="12" t="s">
        <v>329</v>
      </c>
      <c r="G10" s="11" t="s">
        <v>79</v>
      </c>
      <c r="H10" s="11">
        <v>5</v>
      </c>
      <c r="I10" s="32"/>
      <c r="J10" s="25"/>
    </row>
    <row r="11" spans="1:10" ht="23.25" customHeight="1" x14ac:dyDescent="0.25">
      <c r="A11" s="11" t="s">
        <v>20</v>
      </c>
      <c r="B11" s="12" t="s">
        <v>330</v>
      </c>
      <c r="C11" s="12" t="s">
        <v>331</v>
      </c>
      <c r="D11" s="12" t="s">
        <v>332</v>
      </c>
      <c r="E11" s="12" t="s">
        <v>333</v>
      </c>
      <c r="F11" s="12" t="s">
        <v>334</v>
      </c>
      <c r="G11" s="11" t="s">
        <v>79</v>
      </c>
      <c r="H11" s="11">
        <v>5</v>
      </c>
      <c r="I11" s="32"/>
      <c r="J11" s="25"/>
    </row>
    <row r="12" spans="1:10" ht="15" customHeight="1" x14ac:dyDescent="0.25">
      <c r="A12" s="11" t="s">
        <v>23</v>
      </c>
      <c r="B12" s="12" t="s">
        <v>335</v>
      </c>
      <c r="C12" s="12" t="s">
        <v>336</v>
      </c>
      <c r="D12" s="12" t="s">
        <v>337</v>
      </c>
      <c r="E12" s="12" t="s">
        <v>338</v>
      </c>
      <c r="F12" s="12" t="s">
        <v>339</v>
      </c>
      <c r="G12" s="11" t="s">
        <v>340</v>
      </c>
      <c r="H12" s="11">
        <v>6</v>
      </c>
      <c r="I12" s="32"/>
      <c r="J12" s="25"/>
    </row>
    <row r="13" spans="1:10" ht="15" customHeight="1" x14ac:dyDescent="0.25">
      <c r="A13" s="11" t="s">
        <v>23</v>
      </c>
      <c r="B13" s="12" t="s">
        <v>341</v>
      </c>
      <c r="C13" s="12" t="s">
        <v>342</v>
      </c>
      <c r="D13" s="12" t="s">
        <v>343</v>
      </c>
      <c r="E13" s="12" t="s">
        <v>344</v>
      </c>
      <c r="F13" s="12" t="s">
        <v>345</v>
      </c>
      <c r="G13" s="11" t="s">
        <v>79</v>
      </c>
      <c r="H13" s="11">
        <v>6</v>
      </c>
      <c r="I13" s="32"/>
      <c r="J13" s="25"/>
    </row>
    <row r="14" spans="1:10" ht="23.25" customHeight="1" x14ac:dyDescent="0.25">
      <c r="A14" s="11" t="s">
        <v>23</v>
      </c>
      <c r="B14" s="12" t="s">
        <v>346</v>
      </c>
      <c r="C14" s="12" t="s">
        <v>347</v>
      </c>
      <c r="D14" s="33" t="s">
        <v>348</v>
      </c>
      <c r="E14" s="12" t="s">
        <v>349</v>
      </c>
      <c r="F14" s="12" t="s">
        <v>155</v>
      </c>
      <c r="G14" s="11" t="s">
        <v>350</v>
      </c>
      <c r="H14" s="11">
        <v>6</v>
      </c>
      <c r="I14" s="32"/>
      <c r="J14" s="25"/>
    </row>
    <row r="15" spans="1:10" ht="15" customHeight="1" x14ac:dyDescent="0.25">
      <c r="A15" s="11" t="s">
        <v>23</v>
      </c>
      <c r="B15" s="12" t="s">
        <v>351</v>
      </c>
      <c r="C15" s="12" t="s">
        <v>352</v>
      </c>
      <c r="D15" s="12" t="s">
        <v>353</v>
      </c>
      <c r="E15" s="12" t="s">
        <v>354</v>
      </c>
      <c r="F15" s="12" t="s">
        <v>355</v>
      </c>
      <c r="G15" s="11" t="s">
        <v>79</v>
      </c>
      <c r="H15" s="11">
        <v>6</v>
      </c>
      <c r="I15" s="32"/>
      <c r="J15" s="25"/>
    </row>
    <row r="16" spans="1:10" ht="15" customHeight="1" x14ac:dyDescent="0.25">
      <c r="A16" s="11" t="s">
        <v>23</v>
      </c>
      <c r="B16" s="12" t="s">
        <v>356</v>
      </c>
      <c r="C16" s="12" t="s">
        <v>357</v>
      </c>
      <c r="D16" s="12" t="s">
        <v>358</v>
      </c>
      <c r="E16" s="12" t="s">
        <v>359</v>
      </c>
      <c r="F16" s="12" t="s">
        <v>360</v>
      </c>
      <c r="G16" s="11" t="s">
        <v>95</v>
      </c>
      <c r="H16" s="11">
        <v>6</v>
      </c>
      <c r="I16" s="32"/>
      <c r="J16" s="25"/>
    </row>
    <row r="17" spans="1:10" ht="15" customHeight="1" x14ac:dyDescent="0.25">
      <c r="A17" s="11" t="s">
        <v>26</v>
      </c>
      <c r="B17" s="12" t="s">
        <v>361</v>
      </c>
      <c r="C17" s="12" t="s">
        <v>362</v>
      </c>
      <c r="D17" s="12" t="s">
        <v>363</v>
      </c>
      <c r="E17" s="12" t="s">
        <v>364</v>
      </c>
      <c r="F17" s="12" t="s">
        <v>365</v>
      </c>
      <c r="G17" s="11" t="s">
        <v>366</v>
      </c>
      <c r="H17" s="11">
        <v>13</v>
      </c>
      <c r="I17" s="32"/>
      <c r="J17" s="25"/>
    </row>
    <row r="18" spans="1:10" ht="15" customHeight="1" x14ac:dyDescent="0.25">
      <c r="A18" s="11" t="s">
        <v>26</v>
      </c>
      <c r="B18" s="12" t="s">
        <v>367</v>
      </c>
      <c r="C18" s="12" t="s">
        <v>368</v>
      </c>
      <c r="D18" s="12" t="s">
        <v>369</v>
      </c>
      <c r="E18" s="12" t="s">
        <v>328</v>
      </c>
      <c r="F18" s="12" t="s">
        <v>282</v>
      </c>
      <c r="G18" s="11" t="s">
        <v>340</v>
      </c>
      <c r="H18" s="11">
        <v>13</v>
      </c>
      <c r="I18" s="32"/>
      <c r="J18" s="25"/>
    </row>
    <row r="19" spans="1:10" ht="23.25" customHeight="1" x14ac:dyDescent="0.25">
      <c r="A19" s="11" t="s">
        <v>26</v>
      </c>
      <c r="B19" s="12" t="s">
        <v>370</v>
      </c>
      <c r="C19" s="12" t="s">
        <v>371</v>
      </c>
      <c r="D19" s="12" t="s">
        <v>372</v>
      </c>
      <c r="E19" s="12" t="s">
        <v>373</v>
      </c>
      <c r="F19" s="12" t="s">
        <v>374</v>
      </c>
      <c r="G19" s="11" t="s">
        <v>350</v>
      </c>
      <c r="H19" s="11">
        <v>13</v>
      </c>
      <c r="I19" s="32"/>
      <c r="J19" s="25"/>
    </row>
    <row r="20" spans="1:10" ht="23.25" customHeight="1" x14ac:dyDescent="0.25">
      <c r="A20" s="11" t="s">
        <v>26</v>
      </c>
      <c r="B20" s="12" t="s">
        <v>375</v>
      </c>
      <c r="C20" s="12" t="s">
        <v>376</v>
      </c>
      <c r="D20" s="12" t="s">
        <v>377</v>
      </c>
      <c r="E20" s="12" t="s">
        <v>378</v>
      </c>
      <c r="F20" s="12" t="s">
        <v>379</v>
      </c>
      <c r="G20" s="11" t="s">
        <v>79</v>
      </c>
      <c r="H20" s="11">
        <v>12</v>
      </c>
      <c r="I20" s="32"/>
      <c r="J20" s="25"/>
    </row>
    <row r="21" spans="1:10" ht="23.25" customHeight="1" x14ac:dyDescent="0.25">
      <c r="A21" s="11" t="s">
        <v>26</v>
      </c>
      <c r="B21" s="12" t="s">
        <v>380</v>
      </c>
      <c r="C21" s="12" t="s">
        <v>381</v>
      </c>
      <c r="D21" s="12" t="s">
        <v>382</v>
      </c>
      <c r="E21" s="12" t="s">
        <v>383</v>
      </c>
      <c r="F21" s="12" t="s">
        <v>384</v>
      </c>
      <c r="G21" s="11" t="s">
        <v>79</v>
      </c>
      <c r="H21" s="11">
        <v>10</v>
      </c>
      <c r="I21" s="32"/>
      <c r="J21" s="25"/>
    </row>
    <row r="22" spans="1:10" ht="23.25" customHeight="1" x14ac:dyDescent="0.25">
      <c r="A22" s="11" t="s">
        <v>26</v>
      </c>
      <c r="B22" s="12" t="s">
        <v>385</v>
      </c>
      <c r="C22" s="12" t="s">
        <v>386</v>
      </c>
      <c r="D22" s="12" t="s">
        <v>387</v>
      </c>
      <c r="E22" s="12" t="s">
        <v>388</v>
      </c>
      <c r="F22" s="12" t="s">
        <v>389</v>
      </c>
      <c r="G22" s="11" t="s">
        <v>95</v>
      </c>
      <c r="H22" s="11">
        <v>13</v>
      </c>
      <c r="I22" s="32"/>
      <c r="J22" s="25"/>
    </row>
    <row r="23" spans="1:10" ht="23.25" customHeight="1" x14ac:dyDescent="0.25">
      <c r="A23" s="11" t="s">
        <v>26</v>
      </c>
      <c r="B23" s="12" t="s">
        <v>390</v>
      </c>
      <c r="C23" s="12" t="s">
        <v>391</v>
      </c>
      <c r="D23" s="12" t="s">
        <v>392</v>
      </c>
      <c r="E23" s="12" t="s">
        <v>393</v>
      </c>
      <c r="F23" s="12" t="s">
        <v>394</v>
      </c>
      <c r="G23" s="11" t="s">
        <v>150</v>
      </c>
      <c r="H23" s="11">
        <v>13</v>
      </c>
      <c r="I23" s="32"/>
      <c r="J23" s="25"/>
    </row>
    <row r="24" spans="1:10" ht="23.25" customHeight="1" x14ac:dyDescent="0.25">
      <c r="A24" s="11" t="s">
        <v>29</v>
      </c>
      <c r="B24" s="12" t="s">
        <v>395</v>
      </c>
      <c r="C24" s="12" t="s">
        <v>396</v>
      </c>
      <c r="D24" s="33" t="s">
        <v>397</v>
      </c>
      <c r="E24" s="12" t="s">
        <v>398</v>
      </c>
      <c r="F24" s="12" t="s">
        <v>399</v>
      </c>
      <c r="G24" s="11" t="s">
        <v>79</v>
      </c>
      <c r="H24" s="11">
        <v>14</v>
      </c>
      <c r="I24" s="32"/>
      <c r="J24" s="25"/>
    </row>
    <row r="25" spans="1:10" ht="15" customHeight="1" x14ac:dyDescent="0.25">
      <c r="A25" s="11" t="s">
        <v>29</v>
      </c>
      <c r="B25" s="12" t="s">
        <v>400</v>
      </c>
      <c r="C25" s="12" t="s">
        <v>401</v>
      </c>
      <c r="D25" s="12" t="s">
        <v>402</v>
      </c>
      <c r="E25" s="12" t="s">
        <v>403</v>
      </c>
      <c r="F25" s="12" t="s">
        <v>404</v>
      </c>
      <c r="G25" s="11" t="s">
        <v>405</v>
      </c>
      <c r="H25" s="11">
        <v>14</v>
      </c>
      <c r="I25" s="32"/>
      <c r="J25" s="25"/>
    </row>
    <row r="26" spans="1:10" ht="15" customHeight="1" x14ac:dyDescent="0.25">
      <c r="A26" s="11" t="s">
        <v>29</v>
      </c>
      <c r="B26" s="12" t="s">
        <v>406</v>
      </c>
      <c r="C26" s="12" t="s">
        <v>407</v>
      </c>
      <c r="D26" s="12" t="s">
        <v>408</v>
      </c>
      <c r="E26" s="12" t="s">
        <v>409</v>
      </c>
      <c r="F26" s="12" t="s">
        <v>410</v>
      </c>
      <c r="G26" s="11" t="s">
        <v>79</v>
      </c>
      <c r="H26" s="11">
        <v>14</v>
      </c>
      <c r="I26" s="32"/>
      <c r="J26" s="25"/>
    </row>
    <row r="27" spans="1:10" ht="15" customHeight="1" x14ac:dyDescent="0.25">
      <c r="A27" s="11" t="s">
        <v>29</v>
      </c>
      <c r="B27" s="12" t="s">
        <v>411</v>
      </c>
      <c r="C27" s="12" t="s">
        <v>412</v>
      </c>
      <c r="D27" s="12" t="s">
        <v>413</v>
      </c>
      <c r="E27" s="12" t="s">
        <v>414</v>
      </c>
      <c r="F27" s="12" t="s">
        <v>415</v>
      </c>
      <c r="G27" s="11" t="s">
        <v>110</v>
      </c>
      <c r="H27" s="11">
        <v>14</v>
      </c>
      <c r="I27" s="32"/>
      <c r="J27" s="25"/>
    </row>
    <row r="28" spans="1:10" ht="23.25" customHeight="1" x14ac:dyDescent="0.25">
      <c r="A28" s="11" t="s">
        <v>29</v>
      </c>
      <c r="B28" s="12" t="s">
        <v>416</v>
      </c>
      <c r="C28" s="12" t="s">
        <v>417</v>
      </c>
      <c r="D28" s="12" t="s">
        <v>418</v>
      </c>
      <c r="E28" s="12" t="s">
        <v>419</v>
      </c>
      <c r="F28" s="12" t="s">
        <v>420</v>
      </c>
      <c r="G28" s="11" t="s">
        <v>79</v>
      </c>
      <c r="H28" s="11">
        <v>14</v>
      </c>
      <c r="I28" s="32"/>
      <c r="J28" s="25"/>
    </row>
    <row r="29" spans="1:10" ht="23.25" customHeight="1" x14ac:dyDescent="0.25">
      <c r="A29" s="11" t="s">
        <v>32</v>
      </c>
      <c r="B29" s="12" t="s">
        <v>421</v>
      </c>
      <c r="C29" s="12" t="s">
        <v>422</v>
      </c>
      <c r="D29" s="12" t="s">
        <v>423</v>
      </c>
      <c r="E29" s="12" t="s">
        <v>424</v>
      </c>
      <c r="F29" s="12" t="s">
        <v>255</v>
      </c>
      <c r="G29" s="11" t="s">
        <v>79</v>
      </c>
      <c r="H29" s="11">
        <v>24</v>
      </c>
      <c r="I29" s="32"/>
      <c r="J29" s="25"/>
    </row>
    <row r="30" spans="1:10" ht="23.25" customHeight="1" x14ac:dyDescent="0.25">
      <c r="A30" s="11" t="s">
        <v>32</v>
      </c>
      <c r="B30" s="12" t="s">
        <v>425</v>
      </c>
      <c r="C30" s="12" t="s">
        <v>426</v>
      </c>
      <c r="D30" s="12" t="s">
        <v>427</v>
      </c>
      <c r="E30" s="12" t="s">
        <v>428</v>
      </c>
      <c r="F30" s="12" t="s">
        <v>429</v>
      </c>
      <c r="G30" s="11" t="s">
        <v>110</v>
      </c>
      <c r="H30" s="11">
        <v>22</v>
      </c>
      <c r="I30" s="32"/>
      <c r="J30" s="25"/>
    </row>
    <row r="31" spans="1:10" ht="23.25" customHeight="1" x14ac:dyDescent="0.25">
      <c r="A31" s="11" t="s">
        <v>32</v>
      </c>
      <c r="B31" s="12" t="s">
        <v>430</v>
      </c>
      <c r="C31" s="12" t="s">
        <v>431</v>
      </c>
      <c r="D31" s="12" t="s">
        <v>432</v>
      </c>
      <c r="E31" s="12" t="s">
        <v>433</v>
      </c>
      <c r="F31" s="12" t="s">
        <v>434</v>
      </c>
      <c r="G31" s="11" t="s">
        <v>314</v>
      </c>
      <c r="H31" s="11">
        <v>24</v>
      </c>
      <c r="I31" s="32"/>
      <c r="J31" s="25"/>
    </row>
    <row r="32" spans="1:10" ht="23.25" customHeight="1" x14ac:dyDescent="0.25">
      <c r="A32" s="11" t="s">
        <v>32</v>
      </c>
      <c r="B32" s="12" t="s">
        <v>435</v>
      </c>
      <c r="C32" s="12" t="s">
        <v>436</v>
      </c>
      <c r="D32" s="12" t="s">
        <v>437</v>
      </c>
      <c r="E32" s="12" t="s">
        <v>438</v>
      </c>
      <c r="F32" s="12" t="s">
        <v>439</v>
      </c>
      <c r="G32" s="11" t="s">
        <v>95</v>
      </c>
      <c r="H32" s="11">
        <v>23</v>
      </c>
      <c r="I32" s="32"/>
      <c r="J32" s="25"/>
    </row>
    <row r="33" spans="1:10" ht="15" customHeight="1" x14ac:dyDescent="0.25">
      <c r="A33" s="11" t="s">
        <v>32</v>
      </c>
      <c r="B33" s="12" t="s">
        <v>440</v>
      </c>
      <c r="C33" s="12" t="s">
        <v>441</v>
      </c>
      <c r="D33" s="12" t="s">
        <v>442</v>
      </c>
      <c r="E33" s="12" t="s">
        <v>443</v>
      </c>
      <c r="F33" s="12" t="s">
        <v>275</v>
      </c>
      <c r="G33" s="11" t="s">
        <v>100</v>
      </c>
      <c r="H33" s="11">
        <v>24</v>
      </c>
      <c r="I33" s="32"/>
      <c r="J33" s="25"/>
    </row>
    <row r="35" spans="1:10" ht="15" customHeight="1" x14ac:dyDescent="0.25">
      <c r="A35" s="9" t="s">
        <v>444</v>
      </c>
    </row>
    <row r="36" spans="1:10" ht="15" customHeight="1" x14ac:dyDescent="0.25">
      <c r="A36" s="10" t="s">
        <v>44</v>
      </c>
      <c r="B36" s="10" t="s">
        <v>445</v>
      </c>
      <c r="C36" s="10" t="s">
        <v>446</v>
      </c>
      <c r="D36" s="10" t="s">
        <v>447</v>
      </c>
    </row>
    <row r="37" spans="1:10" ht="15" customHeight="1" x14ac:dyDescent="0.25">
      <c r="A37" s="11" t="s">
        <v>20</v>
      </c>
      <c r="B37" s="11">
        <f>COUNTIF($A$5:$A$33,A37)</f>
        <v>7</v>
      </c>
      <c r="C37" s="11">
        <f>COUNTIFS($A$5:$A$33,A37,$J$5:$J$33,"Y")</f>
        <v>0</v>
      </c>
      <c r="D37" s="14">
        <f>IF(B37=0,0,C37/B37)</f>
        <v>0</v>
      </c>
    </row>
    <row r="38" spans="1:10" ht="15" customHeight="1" x14ac:dyDescent="0.25">
      <c r="A38" s="11" t="s">
        <v>23</v>
      </c>
      <c r="B38" s="11">
        <f>COUNTIF($A$5:$A$33,A38)</f>
        <v>5</v>
      </c>
      <c r="C38" s="11">
        <f>COUNTIFS($A$5:$A$33,A38,$J$5:$J$33,"Y")</f>
        <v>0</v>
      </c>
      <c r="D38" s="14">
        <f>IF(B38=0,0,C38/B38)</f>
        <v>0</v>
      </c>
    </row>
    <row r="39" spans="1:10" ht="15" customHeight="1" x14ac:dyDescent="0.25">
      <c r="A39" s="11" t="s">
        <v>26</v>
      </c>
      <c r="B39" s="11">
        <f>COUNTIF($A$5:$A$33,A39)</f>
        <v>7</v>
      </c>
      <c r="C39" s="11">
        <f>COUNTIFS($A$5:$A$33,A39,$J$5:$J$33,"Y")</f>
        <v>0</v>
      </c>
      <c r="D39" s="14">
        <f>IF(B39=0,0,C39/B39)</f>
        <v>0</v>
      </c>
    </row>
    <row r="40" spans="1:10" ht="15" customHeight="1" x14ac:dyDescent="0.25">
      <c r="A40" s="11" t="s">
        <v>29</v>
      </c>
      <c r="B40" s="11">
        <f>COUNTIF($A$5:$A$33,A40)</f>
        <v>5</v>
      </c>
      <c r="C40" s="11">
        <f>COUNTIFS($A$5:$A$33,A40,$J$5:$J$33,"Y")</f>
        <v>0</v>
      </c>
      <c r="D40" s="14">
        <f>IF(B40=0,0,C40/B40)</f>
        <v>0</v>
      </c>
    </row>
    <row r="41" spans="1:10" ht="15" customHeight="1" x14ac:dyDescent="0.25">
      <c r="A41" s="11" t="s">
        <v>32</v>
      </c>
      <c r="B41" s="11">
        <f>COUNTIF($A$5:$A$33,A41)</f>
        <v>5</v>
      </c>
      <c r="C41" s="11">
        <f>COUNTIFS($A$5:$A$33,A41,$J$5:$J$33,"Y")</f>
        <v>0</v>
      </c>
      <c r="D41" s="14">
        <f>IF(B41=0,0,C41/B41)</f>
        <v>0</v>
      </c>
    </row>
  </sheetData>
  <conditionalFormatting sqref="J5:J33">
    <cfRule type="expression" dxfId="1" priority="2">
      <formula>$J5="Y"</formula>
    </cfRule>
    <cfRule type="expression" dxfId="0" priority="3">
      <formula>$J5="N"</formula>
    </cfRule>
  </conditionalFormatting>
  <dataValidations count="1">
    <dataValidation type="list" allowBlank="1" sqref="J5:J33" xr:uid="{00000000-0002-0000-0200-000000000000}">
      <formula1>"Y,N,Partial"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showGridLines="0" zoomScaleNormal="100" workbookViewId="0"/>
  </sheetViews>
  <sheetFormatPr defaultColWidth="8.7109375" defaultRowHeight="15" x14ac:dyDescent="0.25"/>
  <cols>
    <col min="1" max="1" width="7" customWidth="1"/>
    <col min="2" max="3" width="40" customWidth="1"/>
    <col min="4" max="4" width="7" customWidth="1"/>
    <col min="5" max="5" width="12" customWidth="1"/>
    <col min="6" max="6" width="46" customWidth="1"/>
    <col min="7" max="7" width="10" customWidth="1"/>
    <col min="8" max="9" width="12" customWidth="1"/>
  </cols>
  <sheetData>
    <row r="1" spans="1:9" ht="17.25" customHeight="1" x14ac:dyDescent="0.25">
      <c r="A1" s="15" t="s">
        <v>448</v>
      </c>
    </row>
    <row r="2" spans="1:9" ht="15" customHeight="1" x14ac:dyDescent="0.25">
      <c r="A2" s="7" t="s">
        <v>449</v>
      </c>
    </row>
    <row r="4" spans="1:9" ht="15" customHeight="1" x14ac:dyDescent="0.25">
      <c r="A4" s="10" t="s">
        <v>43</v>
      </c>
      <c r="B4" s="10" t="s">
        <v>450</v>
      </c>
      <c r="C4" s="10" t="s">
        <v>451</v>
      </c>
      <c r="D4" s="10" t="s">
        <v>452</v>
      </c>
      <c r="E4" s="10" t="s">
        <v>453</v>
      </c>
      <c r="F4" s="10" t="s">
        <v>454</v>
      </c>
      <c r="G4" s="10" t="s">
        <v>455</v>
      </c>
      <c r="H4" s="10" t="s">
        <v>51</v>
      </c>
      <c r="I4" s="10" t="s">
        <v>456</v>
      </c>
    </row>
    <row r="5" spans="1:9" ht="15" customHeight="1" x14ac:dyDescent="0.25">
      <c r="A5" s="11" t="s">
        <v>457</v>
      </c>
      <c r="B5" s="12" t="s">
        <v>458</v>
      </c>
      <c r="C5" s="12" t="s">
        <v>459</v>
      </c>
      <c r="D5" s="23">
        <v>1</v>
      </c>
      <c r="E5" s="13">
        <f>Overview!$B$4+7*(D5-1)+4</f>
        <v>46304</v>
      </c>
      <c r="F5" s="12" t="s">
        <v>460</v>
      </c>
      <c r="G5" s="11" t="s">
        <v>303</v>
      </c>
      <c r="H5" s="25" t="s">
        <v>461</v>
      </c>
      <c r="I5" s="34"/>
    </row>
    <row r="6" spans="1:9" ht="15" customHeight="1" x14ac:dyDescent="0.25">
      <c r="A6" s="11" t="s">
        <v>136</v>
      </c>
      <c r="B6" s="12" t="s">
        <v>81</v>
      </c>
      <c r="C6" s="12" t="s">
        <v>462</v>
      </c>
      <c r="D6" s="23">
        <v>5</v>
      </c>
      <c r="E6" s="13">
        <f>Overview!$B$4+7*(D6-1)+4</f>
        <v>46332</v>
      </c>
      <c r="F6" s="12" t="s">
        <v>463</v>
      </c>
      <c r="G6" s="11" t="s">
        <v>100</v>
      </c>
      <c r="H6" s="25" t="s">
        <v>461</v>
      </c>
      <c r="I6" s="34"/>
    </row>
    <row r="7" spans="1:9" ht="15" customHeight="1" x14ac:dyDescent="0.25">
      <c r="A7" s="11" t="s">
        <v>164</v>
      </c>
      <c r="B7" s="12" t="s">
        <v>140</v>
      </c>
      <c r="C7" s="12" t="s">
        <v>141</v>
      </c>
      <c r="D7" s="23">
        <v>6</v>
      </c>
      <c r="E7" s="13">
        <f>Overview!$B$4+7*(D7-1)+4</f>
        <v>46339</v>
      </c>
      <c r="F7" s="12" t="s">
        <v>464</v>
      </c>
      <c r="G7" s="11" t="s">
        <v>100</v>
      </c>
      <c r="H7" s="25" t="s">
        <v>461</v>
      </c>
      <c r="I7" s="34"/>
    </row>
    <row r="8" spans="1:9" ht="23.25" customHeight="1" x14ac:dyDescent="0.25">
      <c r="A8" s="11" t="s">
        <v>218</v>
      </c>
      <c r="B8" s="12" t="s">
        <v>465</v>
      </c>
      <c r="C8" s="12" t="s">
        <v>466</v>
      </c>
      <c r="D8" s="23">
        <v>13</v>
      </c>
      <c r="E8" s="13">
        <f>Overview!$B$4+7*(D8-1)+4</f>
        <v>46388</v>
      </c>
      <c r="F8" s="12" t="s">
        <v>467</v>
      </c>
      <c r="G8" s="11" t="s">
        <v>100</v>
      </c>
      <c r="H8" s="25" t="s">
        <v>461</v>
      </c>
      <c r="I8" s="34"/>
    </row>
    <row r="9" spans="1:9" ht="15" customHeight="1" x14ac:dyDescent="0.25">
      <c r="A9" s="11" t="s">
        <v>246</v>
      </c>
      <c r="B9" s="12" t="s">
        <v>468</v>
      </c>
      <c r="C9" s="12" t="s">
        <v>469</v>
      </c>
      <c r="D9" s="23">
        <v>14</v>
      </c>
      <c r="E9" s="13">
        <f>Overview!$B$4+7*(D9-1)+4</f>
        <v>46395</v>
      </c>
      <c r="F9" s="12" t="s">
        <v>470</v>
      </c>
      <c r="G9" s="11" t="s">
        <v>100</v>
      </c>
      <c r="H9" s="25" t="s">
        <v>461</v>
      </c>
      <c r="I9" s="34"/>
    </row>
    <row r="10" spans="1:9" ht="15" customHeight="1" x14ac:dyDescent="0.25">
      <c r="A10" s="11" t="s">
        <v>272</v>
      </c>
      <c r="B10" s="12" t="s">
        <v>471</v>
      </c>
      <c r="C10" s="12" t="s">
        <v>472</v>
      </c>
      <c r="D10" s="23">
        <v>24</v>
      </c>
      <c r="E10" s="13">
        <f>Overview!$B$4+7*(D10-1)+4</f>
        <v>46465</v>
      </c>
      <c r="F10" s="12" t="s">
        <v>473</v>
      </c>
      <c r="G10" s="11" t="s">
        <v>100</v>
      </c>
      <c r="H10" s="25" t="s">
        <v>461</v>
      </c>
      <c r="I10" s="34"/>
    </row>
    <row r="11" spans="1:9" ht="15" customHeight="1" x14ac:dyDescent="0.25">
      <c r="A11" s="11" t="s">
        <v>474</v>
      </c>
      <c r="B11" s="12" t="s">
        <v>475</v>
      </c>
      <c r="C11" s="12" t="s">
        <v>476</v>
      </c>
      <c r="D11" s="11" t="s">
        <v>236</v>
      </c>
      <c r="E11" s="13">
        <f>Overview!$B$6</f>
        <v>46574</v>
      </c>
      <c r="F11" s="12" t="s">
        <v>477</v>
      </c>
      <c r="G11" s="11" t="s">
        <v>100</v>
      </c>
      <c r="H11" s="25" t="s">
        <v>461</v>
      </c>
      <c r="I11" s="25"/>
    </row>
    <row r="12" spans="1:9" ht="23.25" customHeight="1" x14ac:dyDescent="0.25">
      <c r="A12" s="11" t="s">
        <v>478</v>
      </c>
      <c r="B12" s="12" t="s">
        <v>479</v>
      </c>
      <c r="C12" s="12" t="s">
        <v>480</v>
      </c>
      <c r="D12" s="11" t="s">
        <v>236</v>
      </c>
      <c r="E12" s="13">
        <f>Overview!$B$6+30</f>
        <v>46604</v>
      </c>
      <c r="F12" s="12" t="s">
        <v>481</v>
      </c>
      <c r="G12" s="11" t="s">
        <v>100</v>
      </c>
      <c r="H12" s="25" t="s">
        <v>461</v>
      </c>
      <c r="I12" s="25"/>
    </row>
  </sheetData>
  <dataValidations count="1">
    <dataValidation type="list" allowBlank="1" sqref="H5:H12" xr:uid="{00000000-0002-0000-0300-000000000000}">
      <formula1>"Planned,Submitted,Accepted,Rejected"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7" sqref="G17"/>
    </sheetView>
  </sheetViews>
  <sheetFormatPr defaultColWidth="8.7109375" defaultRowHeight="15" x14ac:dyDescent="0.25"/>
  <cols>
    <col min="1" max="1" width="6" customWidth="1"/>
    <col min="2" max="2" width="12" customWidth="1"/>
    <col min="3" max="3" width="44" customWidth="1"/>
    <col min="4" max="4" width="40" customWidth="1"/>
    <col min="5" max="5" width="9" customWidth="1"/>
    <col min="6" max="6" width="10" customWidth="1"/>
    <col min="7" max="7" width="40" customWidth="1"/>
    <col min="8" max="8" width="10" customWidth="1"/>
    <col min="9" max="9" width="8" customWidth="1"/>
    <col min="10" max="10" width="11" customWidth="1"/>
  </cols>
  <sheetData>
    <row r="1" spans="1:10" ht="17.25" customHeight="1" x14ac:dyDescent="0.25">
      <c r="A1" s="15" t="s">
        <v>482</v>
      </c>
    </row>
    <row r="2" spans="1:10" ht="15" customHeight="1" x14ac:dyDescent="0.25">
      <c r="A2" s="7" t="s">
        <v>483</v>
      </c>
    </row>
    <row r="4" spans="1:10" ht="15" customHeight="1" x14ac:dyDescent="0.25">
      <c r="A4" s="10" t="s">
        <v>43</v>
      </c>
      <c r="B4" s="10" t="s">
        <v>45</v>
      </c>
      <c r="C4" s="10" t="s">
        <v>484</v>
      </c>
      <c r="D4" s="10" t="s">
        <v>485</v>
      </c>
      <c r="E4" s="10" t="s">
        <v>486</v>
      </c>
      <c r="F4" s="10" t="s">
        <v>487</v>
      </c>
      <c r="G4" s="10" t="s">
        <v>488</v>
      </c>
      <c r="H4" s="10" t="s">
        <v>48</v>
      </c>
      <c r="I4" s="10" t="s">
        <v>295</v>
      </c>
      <c r="J4" s="10" t="s">
        <v>51</v>
      </c>
    </row>
    <row r="5" spans="1:10" ht="23.25" customHeight="1" x14ac:dyDescent="0.25">
      <c r="A5" s="11" t="s">
        <v>489</v>
      </c>
      <c r="B5" s="11" t="s">
        <v>490</v>
      </c>
      <c r="C5" s="12" t="s">
        <v>491</v>
      </c>
      <c r="D5" s="12" t="s">
        <v>492</v>
      </c>
      <c r="E5" s="11" t="s">
        <v>493</v>
      </c>
      <c r="F5" s="11" t="s">
        <v>494</v>
      </c>
      <c r="G5" s="12" t="s">
        <v>495</v>
      </c>
      <c r="H5" s="11" t="s">
        <v>79</v>
      </c>
      <c r="I5" s="11">
        <v>2</v>
      </c>
      <c r="J5" s="25" t="s">
        <v>496</v>
      </c>
    </row>
    <row r="6" spans="1:10" ht="23.25" customHeight="1" x14ac:dyDescent="0.25">
      <c r="A6" s="11" t="s">
        <v>497</v>
      </c>
      <c r="B6" s="11" t="s">
        <v>490</v>
      </c>
      <c r="C6" s="12" t="s">
        <v>498</v>
      </c>
      <c r="D6" s="12" t="s">
        <v>499</v>
      </c>
      <c r="E6" s="11" t="s">
        <v>493</v>
      </c>
      <c r="F6" s="11" t="s">
        <v>493</v>
      </c>
      <c r="G6" s="12" t="s">
        <v>500</v>
      </c>
      <c r="H6" s="11" t="s">
        <v>150</v>
      </c>
      <c r="I6" s="11">
        <v>8</v>
      </c>
      <c r="J6" s="25" t="s">
        <v>496</v>
      </c>
    </row>
    <row r="7" spans="1:10" ht="23.25" customHeight="1" x14ac:dyDescent="0.25">
      <c r="A7" s="11" t="s">
        <v>501</v>
      </c>
      <c r="B7" s="11" t="s">
        <v>490</v>
      </c>
      <c r="C7" s="12" t="s">
        <v>537</v>
      </c>
      <c r="D7" s="12" t="s">
        <v>538</v>
      </c>
      <c r="E7" s="11" t="s">
        <v>494</v>
      </c>
      <c r="F7" s="11" t="s">
        <v>494</v>
      </c>
      <c r="G7" s="12" t="s">
        <v>502</v>
      </c>
      <c r="H7" s="11" t="s">
        <v>80</v>
      </c>
      <c r="I7" s="11">
        <v>2</v>
      </c>
      <c r="J7" s="25" t="s">
        <v>496</v>
      </c>
    </row>
    <row r="8" spans="1:10" ht="15" customHeight="1" x14ac:dyDescent="0.25">
      <c r="A8" s="11" t="s">
        <v>503</v>
      </c>
      <c r="B8" s="11" t="s">
        <v>490</v>
      </c>
      <c r="C8" s="12" t="s">
        <v>504</v>
      </c>
      <c r="D8" s="12" t="s">
        <v>505</v>
      </c>
      <c r="E8" s="11" t="s">
        <v>493</v>
      </c>
      <c r="F8" s="11" t="s">
        <v>494</v>
      </c>
      <c r="G8" s="12" t="s">
        <v>506</v>
      </c>
      <c r="H8" s="11" t="s">
        <v>100</v>
      </c>
      <c r="I8" s="11">
        <v>24</v>
      </c>
      <c r="J8" s="25" t="s">
        <v>496</v>
      </c>
    </row>
    <row r="9" spans="1:10" ht="23.25" customHeight="1" x14ac:dyDescent="0.25">
      <c r="A9" s="11" t="s">
        <v>507</v>
      </c>
      <c r="B9" s="11" t="s">
        <v>490</v>
      </c>
      <c r="C9" s="12" t="s">
        <v>508</v>
      </c>
      <c r="D9" s="12" t="s">
        <v>509</v>
      </c>
      <c r="E9" s="11" t="s">
        <v>494</v>
      </c>
      <c r="F9" s="11" t="s">
        <v>494</v>
      </c>
      <c r="G9" s="12" t="s">
        <v>510</v>
      </c>
      <c r="H9" s="11" t="s">
        <v>79</v>
      </c>
      <c r="I9" s="11">
        <v>13</v>
      </c>
      <c r="J9" s="25" t="s">
        <v>496</v>
      </c>
    </row>
    <row r="10" spans="1:10" ht="23.25" customHeight="1" x14ac:dyDescent="0.25">
      <c r="A10" s="11" t="s">
        <v>511</v>
      </c>
      <c r="B10" s="11" t="s">
        <v>512</v>
      </c>
      <c r="C10" s="12" t="s">
        <v>513</v>
      </c>
      <c r="D10" s="12" t="s">
        <v>514</v>
      </c>
      <c r="E10" s="11" t="s">
        <v>493</v>
      </c>
      <c r="F10" s="11" t="s">
        <v>236</v>
      </c>
      <c r="G10" s="12" t="s">
        <v>515</v>
      </c>
      <c r="H10" s="11" t="s">
        <v>110</v>
      </c>
      <c r="I10" s="11">
        <v>3</v>
      </c>
      <c r="J10" s="25" t="s">
        <v>496</v>
      </c>
    </row>
    <row r="11" spans="1:10" ht="15" customHeight="1" x14ac:dyDescent="0.25">
      <c r="A11" s="11" t="s">
        <v>516</v>
      </c>
      <c r="B11" s="11" t="s">
        <v>512</v>
      </c>
      <c r="C11" s="12" t="s">
        <v>517</v>
      </c>
      <c r="D11" s="12" t="s">
        <v>518</v>
      </c>
      <c r="E11" s="11" t="s">
        <v>494</v>
      </c>
      <c r="F11" s="11" t="s">
        <v>236</v>
      </c>
      <c r="G11" s="12" t="s">
        <v>519</v>
      </c>
      <c r="H11" s="11" t="s">
        <v>79</v>
      </c>
      <c r="I11" s="11">
        <v>1</v>
      </c>
      <c r="J11" s="25" t="s">
        <v>520</v>
      </c>
    </row>
    <row r="12" spans="1:10" ht="15" customHeight="1" x14ac:dyDescent="0.25">
      <c r="A12" s="11" t="s">
        <v>521</v>
      </c>
      <c r="B12" s="11" t="s">
        <v>522</v>
      </c>
      <c r="C12" s="12" t="s">
        <v>523</v>
      </c>
      <c r="D12" s="12" t="s">
        <v>524</v>
      </c>
      <c r="E12" s="11" t="s">
        <v>493</v>
      </c>
      <c r="F12" s="11" t="s">
        <v>236</v>
      </c>
      <c r="G12" s="12" t="s">
        <v>525</v>
      </c>
      <c r="H12" s="11" t="s">
        <v>95</v>
      </c>
      <c r="I12" s="11">
        <v>1</v>
      </c>
      <c r="J12" s="25" t="s">
        <v>496</v>
      </c>
    </row>
    <row r="13" spans="1:10" ht="23.25" customHeight="1" x14ac:dyDescent="0.25">
      <c r="A13" s="11" t="s">
        <v>526</v>
      </c>
      <c r="B13" s="11" t="s">
        <v>522</v>
      </c>
      <c r="C13" s="12" t="s">
        <v>527</v>
      </c>
      <c r="D13" s="12" t="s">
        <v>528</v>
      </c>
      <c r="E13" s="11" t="s">
        <v>494</v>
      </c>
      <c r="F13" s="11" t="s">
        <v>236</v>
      </c>
      <c r="G13" s="12" t="s">
        <v>529</v>
      </c>
      <c r="H13" s="11" t="s">
        <v>303</v>
      </c>
      <c r="I13" s="11">
        <v>3</v>
      </c>
      <c r="J13" s="25" t="s">
        <v>520</v>
      </c>
    </row>
    <row r="14" spans="1:10" ht="15" customHeight="1" x14ac:dyDescent="0.25">
      <c r="A14" s="11" t="s">
        <v>530</v>
      </c>
      <c r="B14" s="11" t="s">
        <v>531</v>
      </c>
      <c r="C14" s="12" t="s">
        <v>532</v>
      </c>
      <c r="D14" s="12" t="s">
        <v>533</v>
      </c>
      <c r="E14" s="11" t="s">
        <v>494</v>
      </c>
      <c r="F14" s="11" t="s">
        <v>236</v>
      </c>
      <c r="G14" s="12" t="s">
        <v>534</v>
      </c>
      <c r="H14" s="11" t="s">
        <v>110</v>
      </c>
      <c r="I14" s="11">
        <v>2</v>
      </c>
      <c r="J14" s="25" t="s">
        <v>496</v>
      </c>
    </row>
  </sheetData>
  <dataValidations count="3">
    <dataValidation type="list" sqref="B5:B200" xr:uid="{00000000-0002-0000-0400-000000000000}">
      <formula1>"Risk,Assumption,Issue,Dependency"</formula1>
      <formula2>0</formula2>
    </dataValidation>
    <dataValidation type="list" sqref="J5:J200" xr:uid="{00000000-0002-0000-0400-000001000000}">
      <formula1>"Open,In progress,Closed"</formula1>
      <formula2>0</formula2>
    </dataValidation>
    <dataValidation type="list" sqref="E5:F200" xr:uid="{00000000-0002-0000-0400-000002000000}">
      <formula1>"High,Medium,Low,—"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WBS</vt:lpstr>
      <vt:lpstr>Phase KPIs</vt:lpstr>
      <vt:lpstr>Milestones</vt:lpstr>
      <vt:lpstr>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Duy Nguyen</cp:lastModifiedBy>
  <cp:revision>0</cp:revision>
  <dcterms:created xsi:type="dcterms:W3CDTF">2026-10-08T04:10:30Z</dcterms:created>
  <dcterms:modified xsi:type="dcterms:W3CDTF">2026-10-08T04:31:13Z</dcterms:modified>
  <dc:language>en-US</dc:language>
</cp:coreProperties>
</file>